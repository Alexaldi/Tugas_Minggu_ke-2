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c76bc85ac72461/Dokumen/kuliah/Semester_5/Pembelajaran_Mesin/"/>
    </mc:Choice>
  </mc:AlternateContent>
  <xr:revisionPtr revIDLastSave="137" documentId="8_{100EC1D1-D061-460B-B63E-28D8EDD78FD1}" xr6:coauthVersionLast="47" xr6:coauthVersionMax="47" xr10:uidLastSave="{B7AC5432-D4F7-4BDC-A6EE-F4D6933D797A}"/>
  <bookViews>
    <workbookView xWindow="-120" yWindow="-120" windowWidth="20730" windowHeight="11760" xr2:uid="{27C1D1E8-381F-49F7-8E37-21481FACE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6" i="1"/>
  <c r="D37" i="1"/>
  <c r="D34" i="1"/>
  <c r="K23" i="1"/>
  <c r="K24" i="1"/>
  <c r="K25" i="1"/>
  <c r="K26" i="1"/>
  <c r="K27" i="1"/>
  <c r="K28" i="1"/>
  <c r="K29" i="1"/>
  <c r="K30" i="1"/>
  <c r="K31" i="1"/>
  <c r="K22" i="1"/>
  <c r="L24" i="1" l="1"/>
  <c r="L23" i="1"/>
  <c r="L29" i="1"/>
  <c r="L22" i="1"/>
  <c r="L28" i="1"/>
  <c r="L25" i="1"/>
  <c r="L31" i="1"/>
  <c r="L30" i="1"/>
  <c r="L27" i="1"/>
  <c r="L26" i="1"/>
  <c r="C37" i="1" l="1"/>
  <c r="C36" i="1"/>
  <c r="C35" i="1"/>
  <c r="C34" i="1"/>
  <c r="B34" i="1"/>
  <c r="B37" i="1"/>
  <c r="B36" i="1"/>
  <c r="B35" i="1"/>
</calcChain>
</file>

<file path=xl/sharedStrings.xml><?xml version="1.0" encoding="utf-8"?>
<sst xmlns="http://schemas.openxmlformats.org/spreadsheetml/2006/main" count="32" uniqueCount="20">
  <si>
    <t>Gender</t>
  </si>
  <si>
    <t>Age</t>
  </si>
  <si>
    <t>Year</t>
  </si>
  <si>
    <t>CGPA</t>
  </si>
  <si>
    <t>Depression</t>
  </si>
  <si>
    <t>? (uji)</t>
  </si>
  <si>
    <t>Data Latih</t>
  </si>
  <si>
    <t>Data Uji</t>
  </si>
  <si>
    <t>KNN</t>
  </si>
  <si>
    <t>No</t>
  </si>
  <si>
    <t>Gender Uji</t>
  </si>
  <si>
    <t>Age Uji</t>
  </si>
  <si>
    <t>Year Uji</t>
  </si>
  <si>
    <t>CGPA Uji</t>
  </si>
  <si>
    <t>Jarak Uclidean</t>
  </si>
  <si>
    <t>RANK</t>
  </si>
  <si>
    <t>Nilai K</t>
  </si>
  <si>
    <t>Prediksi</t>
  </si>
  <si>
    <t>Depresi</t>
  </si>
  <si>
    <t>Tidak Depresi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</si>
</sst>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A5A5A5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0C68-F253-42F0-B17C-DCBBE2AF73C3}">
  <dimension ref="A2:L37"/>
  <sheetViews>
    <sheetView tabSelected="1" topLeftCell="A9" zoomScale="70" zoomScaleNormal="70" workbookViewId="0">
      <selection activeCell="G16" sqref="G16"/>
    </sheetView>
  </sheetViews>
  <sheetFormatPr defaultRowHeight="15" x14ac:dyDescent="0.25"/>
  <cols>
    <col min="1" max="1" width="11" bestFit="1" customWidth="1"/>
    <col min="2" max="2" width="14" bestFit="1" customWidth="1"/>
    <col min="3" max="3" width="17.28515625" bestFit="1" customWidth="1"/>
    <col min="4" max="4" width="14" bestFit="1" customWidth="1"/>
    <col min="5" max="5" width="13.42578125" bestFit="1" customWidth="1"/>
    <col min="6" max="6" width="10.7109375" bestFit="1" customWidth="1"/>
  </cols>
  <sheetData>
    <row r="2" spans="1:6" x14ac:dyDescent="0.25">
      <c r="A2" t="s">
        <v>6</v>
      </c>
    </row>
    <row r="3" spans="1:6" ht="30" x14ac:dyDescent="0.25">
      <c r="A3" s="1" t="s">
        <v>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x14ac:dyDescent="0.25">
      <c r="A4" s="2">
        <v>1</v>
      </c>
      <c r="B4" s="2">
        <v>0</v>
      </c>
      <c r="C4" s="2">
        <v>18</v>
      </c>
      <c r="D4" s="2">
        <v>1</v>
      </c>
      <c r="E4" s="2">
        <v>3</v>
      </c>
      <c r="F4" s="2">
        <v>1</v>
      </c>
    </row>
    <row r="5" spans="1:6" x14ac:dyDescent="0.25">
      <c r="A5" s="2">
        <v>2</v>
      </c>
      <c r="B5" s="2">
        <v>1</v>
      </c>
      <c r="C5" s="2">
        <v>21</v>
      </c>
      <c r="D5" s="2">
        <v>2</v>
      </c>
      <c r="E5" s="2">
        <v>3</v>
      </c>
      <c r="F5" s="2">
        <v>0</v>
      </c>
    </row>
    <row r="6" spans="1:6" x14ac:dyDescent="0.25">
      <c r="A6" s="2">
        <v>3</v>
      </c>
      <c r="B6" s="2">
        <v>1</v>
      </c>
      <c r="C6" s="2">
        <v>19</v>
      </c>
      <c r="D6" s="2">
        <v>1</v>
      </c>
      <c r="E6" s="2">
        <v>3</v>
      </c>
      <c r="F6" s="2">
        <v>1</v>
      </c>
    </row>
    <row r="7" spans="1:6" x14ac:dyDescent="0.25">
      <c r="A7" s="2">
        <v>4</v>
      </c>
      <c r="B7" s="2">
        <v>0</v>
      </c>
      <c r="C7" s="2">
        <v>22</v>
      </c>
      <c r="D7" s="2">
        <v>3</v>
      </c>
      <c r="E7" s="2">
        <v>3</v>
      </c>
      <c r="F7" s="2">
        <v>1</v>
      </c>
    </row>
    <row r="8" spans="1:6" x14ac:dyDescent="0.25">
      <c r="A8" s="2">
        <v>5</v>
      </c>
      <c r="B8" s="2">
        <v>1</v>
      </c>
      <c r="C8" s="2">
        <v>23</v>
      </c>
      <c r="D8" s="2">
        <v>4</v>
      </c>
      <c r="E8" s="2">
        <v>3</v>
      </c>
      <c r="F8" s="2">
        <v>0</v>
      </c>
    </row>
    <row r="9" spans="1:6" x14ac:dyDescent="0.25">
      <c r="A9" s="2">
        <v>6</v>
      </c>
      <c r="B9" s="2">
        <v>1</v>
      </c>
      <c r="C9" s="2">
        <v>19</v>
      </c>
      <c r="D9" s="2">
        <v>2</v>
      </c>
      <c r="E9" s="2">
        <v>3.5</v>
      </c>
      <c r="F9" s="2">
        <v>0</v>
      </c>
    </row>
    <row r="10" spans="1:6" x14ac:dyDescent="0.25">
      <c r="A10" s="2">
        <v>7</v>
      </c>
      <c r="B10" s="2">
        <v>0</v>
      </c>
      <c r="C10" s="2">
        <v>23</v>
      </c>
      <c r="D10" s="2">
        <v>2</v>
      </c>
      <c r="E10" s="2">
        <v>3.5</v>
      </c>
      <c r="F10" s="2">
        <v>1</v>
      </c>
    </row>
    <row r="11" spans="1:6" x14ac:dyDescent="0.25">
      <c r="A11" s="2">
        <v>8</v>
      </c>
      <c r="B11" s="2">
        <v>0</v>
      </c>
      <c r="C11" s="2">
        <v>18</v>
      </c>
      <c r="D11" s="2">
        <v>1</v>
      </c>
      <c r="E11" s="2">
        <v>3.5</v>
      </c>
      <c r="F11" s="2">
        <v>0</v>
      </c>
    </row>
    <row r="12" spans="1:6" x14ac:dyDescent="0.25">
      <c r="A12" s="2">
        <v>9</v>
      </c>
      <c r="B12" s="2">
        <v>0</v>
      </c>
      <c r="C12" s="2">
        <v>19</v>
      </c>
      <c r="D12" s="2">
        <v>2</v>
      </c>
      <c r="E12" s="2">
        <v>2.5</v>
      </c>
      <c r="F12" s="2">
        <v>0</v>
      </c>
    </row>
    <row r="13" spans="1:6" x14ac:dyDescent="0.25">
      <c r="A13" s="2">
        <v>10</v>
      </c>
      <c r="B13" s="2">
        <v>1</v>
      </c>
      <c r="C13" s="2">
        <v>18</v>
      </c>
      <c r="D13" s="2">
        <v>1</v>
      </c>
      <c r="E13" s="2">
        <v>3.5</v>
      </c>
      <c r="F13" s="2">
        <v>0</v>
      </c>
    </row>
    <row r="16" spans="1:6" x14ac:dyDescent="0.25">
      <c r="A16" t="s">
        <v>7</v>
      </c>
    </row>
    <row r="17" spans="1:12" ht="30" x14ac:dyDescent="0.25">
      <c r="A17" s="1" t="s">
        <v>9</v>
      </c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</row>
    <row r="18" spans="1:12" x14ac:dyDescent="0.25">
      <c r="A18" s="3">
        <v>11</v>
      </c>
      <c r="B18" s="3">
        <v>0</v>
      </c>
      <c r="C18" s="3">
        <v>20</v>
      </c>
      <c r="D18" s="3">
        <v>1</v>
      </c>
      <c r="E18" s="3">
        <v>3.5</v>
      </c>
      <c r="F18" s="3" t="s">
        <v>5</v>
      </c>
    </row>
    <row r="20" spans="1:12" x14ac:dyDescent="0.25">
      <c r="A20" t="s">
        <v>8</v>
      </c>
    </row>
    <row r="21" spans="1:12" ht="30" x14ac:dyDescent="0.25">
      <c r="A21" s="1" t="s">
        <v>9</v>
      </c>
      <c r="B21" s="1" t="s">
        <v>0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10</v>
      </c>
      <c r="H21" s="1" t="s">
        <v>11</v>
      </c>
      <c r="I21" s="1" t="s">
        <v>12</v>
      </c>
      <c r="J21" s="1" t="s">
        <v>13</v>
      </c>
      <c r="K21" s="4" t="s">
        <v>14</v>
      </c>
      <c r="L21" s="4" t="s">
        <v>15</v>
      </c>
    </row>
    <row r="22" spans="1:12" x14ac:dyDescent="0.25">
      <c r="A22" s="2">
        <v>1</v>
      </c>
      <c r="B22" s="2">
        <v>0</v>
      </c>
      <c r="C22" s="2">
        <v>18</v>
      </c>
      <c r="D22" s="2">
        <v>1</v>
      </c>
      <c r="E22" s="2">
        <v>3</v>
      </c>
      <c r="F22" s="2">
        <v>1</v>
      </c>
      <c r="G22" s="3">
        <v>0</v>
      </c>
      <c r="H22" s="3">
        <v>20</v>
      </c>
      <c r="I22" s="3">
        <v>1</v>
      </c>
      <c r="J22" s="3">
        <v>3.5</v>
      </c>
      <c r="K22" s="5">
        <f>SQRT((B22-$G$22)^2 + (D22-$I$22)^2+ (E22-$J$22)^2+ (C22-$H$22)^2)</f>
        <v>2.0615528128088303</v>
      </c>
      <c r="L22" s="5">
        <f>_xlfn.RANK.EQ(K22,   $K$22:$K$31, 1)</f>
        <v>6</v>
      </c>
    </row>
    <row r="23" spans="1:12" x14ac:dyDescent="0.25">
      <c r="A23" s="2">
        <v>2</v>
      </c>
      <c r="B23" s="2">
        <v>1</v>
      </c>
      <c r="C23" s="2">
        <v>21</v>
      </c>
      <c r="D23" s="2">
        <v>2</v>
      </c>
      <c r="E23" s="2">
        <v>3</v>
      </c>
      <c r="F23" s="2">
        <v>0</v>
      </c>
      <c r="G23" s="3">
        <v>0</v>
      </c>
      <c r="H23" s="3">
        <v>20</v>
      </c>
      <c r="I23" s="3">
        <v>1</v>
      </c>
      <c r="J23" s="3">
        <v>3.5</v>
      </c>
      <c r="K23" s="5">
        <f t="shared" ref="K23:K31" si="0">SQRT((B23-$G$22)^2 + (D23-$I$22)^2+ (E23-$J$22)^2+ (C23-$H$22)^2)</f>
        <v>1.8027756377319946</v>
      </c>
      <c r="L23" s="5">
        <f t="shared" ref="L23:L31" si="1">_xlfn.RANK.EQ(K23,   $K$22:$K$31, 1)</f>
        <v>4</v>
      </c>
    </row>
    <row r="24" spans="1:12" x14ac:dyDescent="0.25">
      <c r="A24" s="2">
        <v>3</v>
      </c>
      <c r="B24" s="2">
        <v>1</v>
      </c>
      <c r="C24" s="2">
        <v>19</v>
      </c>
      <c r="D24" s="2">
        <v>1</v>
      </c>
      <c r="E24" s="2">
        <v>3</v>
      </c>
      <c r="F24" s="2">
        <v>1</v>
      </c>
      <c r="G24" s="3">
        <v>0</v>
      </c>
      <c r="H24" s="3">
        <v>20</v>
      </c>
      <c r="I24" s="3">
        <v>1</v>
      </c>
      <c r="J24" s="3">
        <v>3.5</v>
      </c>
      <c r="K24" s="5">
        <f t="shared" si="0"/>
        <v>1.5</v>
      </c>
      <c r="L24" s="5">
        <f t="shared" si="1"/>
        <v>1</v>
      </c>
    </row>
    <row r="25" spans="1:12" x14ac:dyDescent="0.25">
      <c r="A25" s="2">
        <v>4</v>
      </c>
      <c r="B25" s="2">
        <v>0</v>
      </c>
      <c r="C25" s="2">
        <v>22</v>
      </c>
      <c r="D25" s="2">
        <v>3</v>
      </c>
      <c r="E25" s="2">
        <v>3</v>
      </c>
      <c r="F25" s="2">
        <v>1</v>
      </c>
      <c r="G25" s="3">
        <v>0</v>
      </c>
      <c r="H25" s="3">
        <v>20</v>
      </c>
      <c r="I25" s="3">
        <v>1</v>
      </c>
      <c r="J25" s="3">
        <v>3.5</v>
      </c>
      <c r="K25" s="5">
        <f t="shared" si="0"/>
        <v>2.8722813232690143</v>
      </c>
      <c r="L25" s="5">
        <f t="shared" si="1"/>
        <v>8</v>
      </c>
    </row>
    <row r="26" spans="1:12" x14ac:dyDescent="0.25">
      <c r="A26" s="2">
        <v>5</v>
      </c>
      <c r="B26" s="2">
        <v>1</v>
      </c>
      <c r="C26" s="2">
        <v>23</v>
      </c>
      <c r="D26" s="2">
        <v>4</v>
      </c>
      <c r="E26" s="2">
        <v>3</v>
      </c>
      <c r="F26" s="2">
        <v>0</v>
      </c>
      <c r="G26" s="3">
        <v>0</v>
      </c>
      <c r="H26" s="3">
        <v>20</v>
      </c>
      <c r="I26" s="3">
        <v>1</v>
      </c>
      <c r="J26" s="3">
        <v>3.5</v>
      </c>
      <c r="K26" s="5">
        <f t="shared" si="0"/>
        <v>4.3874821936960613</v>
      </c>
      <c r="L26" s="5">
        <f t="shared" si="1"/>
        <v>10</v>
      </c>
    </row>
    <row r="27" spans="1:12" x14ac:dyDescent="0.25">
      <c r="A27" s="2">
        <v>6</v>
      </c>
      <c r="B27" s="2">
        <v>1</v>
      </c>
      <c r="C27" s="2">
        <v>19</v>
      </c>
      <c r="D27" s="2">
        <v>2</v>
      </c>
      <c r="E27" s="2">
        <v>3.5</v>
      </c>
      <c r="F27" s="2">
        <v>0</v>
      </c>
      <c r="G27" s="3">
        <v>0</v>
      </c>
      <c r="H27" s="3">
        <v>20</v>
      </c>
      <c r="I27" s="3">
        <v>1</v>
      </c>
      <c r="J27" s="3">
        <v>3.5</v>
      </c>
      <c r="K27" s="5">
        <f t="shared" si="0"/>
        <v>1.7320508075688772</v>
      </c>
      <c r="L27" s="5">
        <f t="shared" si="1"/>
        <v>2</v>
      </c>
    </row>
    <row r="28" spans="1:12" x14ac:dyDescent="0.25">
      <c r="A28" s="2">
        <v>7</v>
      </c>
      <c r="B28" s="2">
        <v>0</v>
      </c>
      <c r="C28" s="2">
        <v>23</v>
      </c>
      <c r="D28" s="2">
        <v>2</v>
      </c>
      <c r="E28" s="2">
        <v>3.5</v>
      </c>
      <c r="F28" s="2">
        <v>1</v>
      </c>
      <c r="G28" s="3">
        <v>0</v>
      </c>
      <c r="H28" s="3">
        <v>20</v>
      </c>
      <c r="I28" s="3">
        <v>1</v>
      </c>
      <c r="J28" s="3">
        <v>3.5</v>
      </c>
      <c r="K28" s="5">
        <f t="shared" si="0"/>
        <v>3.1622776601683795</v>
      </c>
      <c r="L28" s="5">
        <f t="shared" si="1"/>
        <v>9</v>
      </c>
    </row>
    <row r="29" spans="1:12" x14ac:dyDescent="0.25">
      <c r="A29" s="2">
        <v>8</v>
      </c>
      <c r="B29" s="2">
        <v>0</v>
      </c>
      <c r="C29" s="2">
        <v>18</v>
      </c>
      <c r="D29" s="2">
        <v>1</v>
      </c>
      <c r="E29" s="2">
        <v>3.5</v>
      </c>
      <c r="F29" s="2">
        <v>0</v>
      </c>
      <c r="G29" s="3">
        <v>0</v>
      </c>
      <c r="H29" s="3">
        <v>20</v>
      </c>
      <c r="I29" s="3">
        <v>1</v>
      </c>
      <c r="J29" s="3">
        <v>3.5</v>
      </c>
      <c r="K29" s="5">
        <f t="shared" si="0"/>
        <v>2</v>
      </c>
      <c r="L29" s="5">
        <f t="shared" si="1"/>
        <v>5</v>
      </c>
    </row>
    <row r="30" spans="1:12" x14ac:dyDescent="0.25">
      <c r="A30" s="2">
        <v>9</v>
      </c>
      <c r="B30" s="2">
        <v>0</v>
      </c>
      <c r="C30" s="2">
        <v>19</v>
      </c>
      <c r="D30" s="2">
        <v>2</v>
      </c>
      <c r="E30" s="2">
        <v>2.5</v>
      </c>
      <c r="F30" s="2">
        <v>0</v>
      </c>
      <c r="G30" s="3">
        <v>0</v>
      </c>
      <c r="H30" s="3">
        <v>20</v>
      </c>
      <c r="I30" s="3">
        <v>1</v>
      </c>
      <c r="J30" s="3">
        <v>3.5</v>
      </c>
      <c r="K30" s="5">
        <f t="shared" si="0"/>
        <v>1.7320508075688772</v>
      </c>
      <c r="L30" s="5">
        <f t="shared" si="1"/>
        <v>2</v>
      </c>
    </row>
    <row r="31" spans="1:12" x14ac:dyDescent="0.25">
      <c r="A31" s="2">
        <v>10</v>
      </c>
      <c r="B31" s="2">
        <v>1</v>
      </c>
      <c r="C31" s="2">
        <v>18</v>
      </c>
      <c r="D31" s="2">
        <v>1</v>
      </c>
      <c r="E31" s="2">
        <v>3.5</v>
      </c>
      <c r="F31" s="2">
        <v>0</v>
      </c>
      <c r="G31" s="3">
        <v>0</v>
      </c>
      <c r="H31" s="3">
        <v>20</v>
      </c>
      <c r="I31" s="3">
        <v>1</v>
      </c>
      <c r="J31" s="3">
        <v>3.5</v>
      </c>
      <c r="K31" s="5">
        <f t="shared" si="0"/>
        <v>2.2360679774997898</v>
      </c>
      <c r="L31" s="5">
        <f t="shared" si="1"/>
        <v>7</v>
      </c>
    </row>
    <row r="32" spans="1:12" ht="15.75" thickBot="1" x14ac:dyDescent="0.3"/>
    <row r="33" spans="1:5" ht="16.5" thickTop="1" thickBot="1" x14ac:dyDescent="0.3">
      <c r="A33" s="9" t="s">
        <v>16</v>
      </c>
      <c r="B33" s="9" t="s">
        <v>18</v>
      </c>
      <c r="C33" s="10" t="s">
        <v>19</v>
      </c>
      <c r="D33" s="11" t="s">
        <v>17</v>
      </c>
    </row>
    <row r="34" spans="1:5" ht="15.75" thickTop="1" x14ac:dyDescent="0.25">
      <c r="A34" s="6">
        <v>1</v>
      </c>
      <c r="B34" s="6">
        <f>COUNTIFS($L$22:$L$31, "&lt;=1",$F$22:$F$31,1)</f>
        <v>1</v>
      </c>
      <c r="C34" s="6">
        <f>COUNTIFS($L$22:$L$31, "&lt;=1",$F$22:$F$31,0)</f>
        <v>0</v>
      </c>
      <c r="D34" s="7" t="str">
        <f>IF(MAX(B34:C34)=B34,
    "Depresi",
    "Tidak Depresi"
)</f>
        <v>Depresi</v>
      </c>
      <c r="E34" s="8"/>
    </row>
    <row r="35" spans="1:5" x14ac:dyDescent="0.25">
      <c r="A35" s="6">
        <v>3</v>
      </c>
      <c r="B35" s="6">
        <f>COUNTIFS($L$22:$L$31, "&lt;=3",$F$22:$F$31,1)</f>
        <v>1</v>
      </c>
      <c r="C35" s="6">
        <f>COUNTIFS($L$22:$L$31, "&lt;=3",$F$22:$F$31,0)</f>
        <v>2</v>
      </c>
      <c r="D35" s="7" t="str">
        <f t="shared" ref="D35:D37" si="2">IF(MAX(B35:C35)=B35,
    "Depresi",
    "Tidak Depresi"
)</f>
        <v>Tidak Depresi</v>
      </c>
      <c r="E35" s="8"/>
    </row>
    <row r="36" spans="1:5" x14ac:dyDescent="0.25">
      <c r="A36" s="6">
        <v>5</v>
      </c>
      <c r="B36" s="6">
        <f>COUNTIFS($L$22:$L$31, "&lt;=5",$F$22:$F$31,1)</f>
        <v>1</v>
      </c>
      <c r="C36" s="6">
        <f>COUNTIFS($L$22:$L$31, "&lt;=5",$F$22:$F$31,0)</f>
        <v>4</v>
      </c>
      <c r="D36" s="7" t="str">
        <f t="shared" si="2"/>
        <v>Tidak Depresi</v>
      </c>
      <c r="E36" s="8"/>
    </row>
    <row r="37" spans="1:5" x14ac:dyDescent="0.25">
      <c r="A37" s="6">
        <v>7</v>
      </c>
      <c r="B37" s="6">
        <f>COUNTIFS($L$22:$L$31, "&lt;=7",$F$22:$F$31,1)</f>
        <v>2</v>
      </c>
      <c r="C37" s="6">
        <f>COUNTIFS($L$22:$L$31, "&lt;=7",$F$22:$F$31,0)</f>
        <v>5</v>
      </c>
      <c r="D37" s="7" t="str">
        <f t="shared" si="2"/>
        <v>Tidak Depresi</v>
      </c>
      <c r="E3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Aldiano</dc:creator>
  <cp:lastModifiedBy>Gilang Aldiano</cp:lastModifiedBy>
  <dcterms:created xsi:type="dcterms:W3CDTF">2025-11-13T13:08:22Z</dcterms:created>
  <dcterms:modified xsi:type="dcterms:W3CDTF">2025-11-13T13:41:36Z</dcterms:modified>
</cp:coreProperties>
</file>