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c76bc85ac72461/Dokumen/kuliah/Semester_5/Pembelajaran_Mesin/Tugas/Tugas_Minggu_ke-2/"/>
    </mc:Choice>
  </mc:AlternateContent>
  <xr:revisionPtr revIDLastSave="2" documentId="8_{4224CC8C-7AEF-4ED9-A927-05EB883A02C8}" xr6:coauthVersionLast="47" xr6:coauthVersionMax="47" xr10:uidLastSave="{BD0A62E4-67B6-449A-8EDB-A3A301FF1340}"/>
  <bookViews>
    <workbookView minimized="1" xWindow="-105" yWindow="1215" windowWidth="17280" windowHeight="9420" xr2:uid="{17D49629-4699-4FE2-8104-4156D115A1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M2" i="1" s="1"/>
  <c r="O2" i="1" s="1"/>
  <c r="P2" i="1" l="1"/>
  <c r="L6" i="1"/>
  <c r="M6" i="1" s="1"/>
  <c r="N6" i="1" s="1"/>
  <c r="L4" i="1"/>
  <c r="M4" i="1" s="1"/>
  <c r="N4" i="1" s="1"/>
  <c r="L3" i="1"/>
  <c r="M3" i="1" s="1"/>
  <c r="N3" i="1" s="1"/>
  <c r="N2" i="1"/>
  <c r="L5" i="1"/>
  <c r="M5" i="1" s="1"/>
  <c r="N5" i="1" s="1"/>
  <c r="O5" i="1" l="1"/>
  <c r="P5" i="1" s="1"/>
  <c r="O6" i="1"/>
  <c r="R6" i="1" s="1"/>
  <c r="O4" i="1"/>
  <c r="S4" i="1" s="1"/>
  <c r="N9" i="1"/>
  <c r="N8" i="1"/>
  <c r="O3" i="1"/>
  <c r="S3" i="1" l="1"/>
  <c r="R10" i="1"/>
  <c r="H12" i="1"/>
  <c r="Q10" i="1"/>
  <c r="P10" i="1"/>
  <c r="P11" i="1"/>
  <c r="H13" i="1"/>
  <c r="J12" i="1"/>
  <c r="I12" i="1"/>
  <c r="Q6" i="1"/>
  <c r="Q5" i="1"/>
  <c r="S5" i="1"/>
  <c r="R5" i="1"/>
  <c r="Q4" i="1"/>
  <c r="R4" i="1"/>
  <c r="P6" i="1"/>
  <c r="S6" i="1"/>
  <c r="P4" i="1"/>
  <c r="Q2" i="1"/>
  <c r="O8" i="1"/>
  <c r="S2" i="1"/>
  <c r="R2" i="1"/>
  <c r="Q3" i="1"/>
  <c r="R3" i="1"/>
  <c r="P3" i="1"/>
  <c r="P8" i="1" l="1"/>
  <c r="L21" i="1"/>
  <c r="M21" i="1" s="1"/>
  <c r="L18" i="1"/>
  <c r="M18" i="1" s="1"/>
  <c r="L19" i="1"/>
  <c r="M19" i="1" s="1"/>
  <c r="L17" i="1"/>
  <c r="M17" i="1" s="1"/>
  <c r="O17" i="1" s="1"/>
  <c r="L20" i="1"/>
  <c r="M20" i="1" s="1"/>
  <c r="S8" i="1"/>
  <c r="R8" i="1"/>
  <c r="Q8" i="1"/>
  <c r="N19" i="1" l="1"/>
  <c r="O19" i="1"/>
  <c r="S17" i="1"/>
  <c r="R17" i="1"/>
  <c r="P17" i="1"/>
  <c r="N17" i="1"/>
  <c r="N24" i="1" s="1"/>
  <c r="H30" i="1"/>
  <c r="O18" i="1"/>
  <c r="N18" i="1"/>
  <c r="Q17" i="1"/>
  <c r="N20" i="1"/>
  <c r="O20" i="1"/>
  <c r="P25" i="1" s="1"/>
  <c r="N21" i="1"/>
  <c r="O21" i="1"/>
  <c r="I29" i="1"/>
  <c r="O23" i="1" l="1"/>
  <c r="N23" i="1"/>
  <c r="Q21" i="1"/>
  <c r="S21" i="1"/>
  <c r="P21" i="1"/>
  <c r="R21" i="1"/>
  <c r="Q20" i="1"/>
  <c r="S20" i="1"/>
  <c r="P20" i="1"/>
  <c r="R20" i="1"/>
  <c r="R25" i="1"/>
  <c r="P26" i="1"/>
  <c r="Q25" i="1"/>
  <c r="P19" i="1"/>
  <c r="R19" i="1"/>
  <c r="Q19" i="1"/>
  <c r="S19" i="1"/>
  <c r="P18" i="1"/>
  <c r="P23" i="1" s="1"/>
  <c r="S18" i="1"/>
  <c r="S23" i="1" s="1"/>
  <c r="R18" i="1"/>
  <c r="H29" i="1"/>
  <c r="J29" i="1"/>
  <c r="Q18" i="1"/>
  <c r="L29" i="1" l="1"/>
  <c r="M29" i="1" s="1"/>
  <c r="N29" i="1" s="1"/>
  <c r="Q23" i="1"/>
  <c r="R23" i="1"/>
</calcChain>
</file>

<file path=xl/sharedStrings.xml><?xml version="1.0" encoding="utf-8"?>
<sst xmlns="http://schemas.openxmlformats.org/spreadsheetml/2006/main" count="65" uniqueCount="36">
  <si>
    <t>Gender</t>
  </si>
  <si>
    <t>Age</t>
  </si>
  <si>
    <t>Year</t>
  </si>
  <si>
    <t>CGPA</t>
  </si>
  <si>
    <t>Depression</t>
  </si>
  <si>
    <t>?</t>
  </si>
  <si>
    <t>w1</t>
  </si>
  <si>
    <t>w2</t>
  </si>
  <si>
    <t>b</t>
  </si>
  <si>
    <t>y</t>
  </si>
  <si>
    <t>z</t>
  </si>
  <si>
    <t>f1</t>
  </si>
  <si>
    <t>f2</t>
  </si>
  <si>
    <t>f3</t>
  </si>
  <si>
    <t>i</t>
  </si>
  <si>
    <t>w3</t>
  </si>
  <si>
    <t>sigma</t>
  </si>
  <si>
    <t>l</t>
  </si>
  <si>
    <t>sigma-y</t>
  </si>
  <si>
    <t>𝜂</t>
  </si>
  <si>
    <t>nama</t>
  </si>
  <si>
    <t>nilai</t>
  </si>
  <si>
    <t>Total</t>
  </si>
  <si>
    <t>J</t>
  </si>
  <si>
    <t>dw</t>
  </si>
  <si>
    <t>db</t>
  </si>
  <si>
    <t>w</t>
  </si>
  <si>
    <t>bobot awal</t>
  </si>
  <si>
    <t>.</t>
  </si>
  <si>
    <t>epoch 1:</t>
  </si>
  <si>
    <t>hasil bobot epoch 1</t>
  </si>
  <si>
    <t>epoch 2:</t>
  </si>
  <si>
    <t>hasil bobot epoch 2</t>
  </si>
  <si>
    <t>pengujian</t>
  </si>
  <si>
    <t>P(y=1|x)</t>
  </si>
  <si>
    <t>P(y=0|x)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</si>
</sst>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" xfId="0" applyFill="1" applyBorder="1"/>
    <xf numFmtId="0" fontId="1" fillId="0" borderId="0" xfId="0" applyFont="1"/>
    <xf numFmtId="2" fontId="0" fillId="0" borderId="1" xfId="0" applyNumberFormat="1" applyBorder="1"/>
    <xf numFmtId="2" fontId="0" fillId="0" borderId="1" xfId="0" applyNumberFormat="1" applyBorder="1" applyAlignment="1">
      <alignment horizontal="right"/>
    </xf>
    <xf numFmtId="2" fontId="0" fillId="0" borderId="1" xfId="0" applyNumberFormat="1" applyFont="1" applyBorder="1"/>
    <xf numFmtId="0" fontId="0" fillId="0" borderId="1" xfId="0" applyFill="1" applyBorder="1"/>
    <xf numFmtId="2" fontId="0" fillId="0" borderId="0" xfId="0" applyNumberFormat="1" applyBorder="1"/>
    <xf numFmtId="2" fontId="0" fillId="0" borderId="0" xfId="0" applyNumberFormat="1" applyBorder="1" applyAlignment="1">
      <alignment horizontal="right"/>
    </xf>
    <xf numFmtId="2" fontId="0" fillId="0" borderId="0" xfId="0" applyNumberFormat="1" applyFont="1" applyBorder="1"/>
    <xf numFmtId="0" fontId="0" fillId="0" borderId="1" xfId="0" applyBorder="1" applyAlignment="1">
      <alignment horizontal="center" vertical="center"/>
    </xf>
    <xf numFmtId="0" fontId="0" fillId="0" borderId="4" xfId="0" applyBorder="1"/>
    <xf numFmtId="0" fontId="1" fillId="0" borderId="2" xfId="0" applyFont="1" applyFill="1" applyBorder="1"/>
    <xf numFmtId="0" fontId="1" fillId="0" borderId="0" xfId="0" applyFont="1" applyFill="1" applyBorder="1"/>
    <xf numFmtId="0" fontId="1" fillId="0" borderId="3" xfId="0" applyFont="1" applyBorder="1" applyAlignment="1">
      <alignment horizontal="center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4EEFC-D897-4894-9424-712C13E42122}">
  <dimension ref="A1:V31"/>
  <sheetViews>
    <sheetView tabSelected="1" zoomScale="70" zoomScaleNormal="70" workbookViewId="0">
      <selection activeCell="F11" sqref="F11"/>
    </sheetView>
  </sheetViews>
  <sheetFormatPr defaultRowHeight="15" x14ac:dyDescent="0.25"/>
  <cols>
    <col min="4" max="4" width="5.7109375" bestFit="1" customWidth="1"/>
    <col min="5" max="6" width="12" bestFit="1" customWidth="1"/>
    <col min="7" max="7" width="2.42578125" bestFit="1" customWidth="1"/>
    <col min="9" max="9" width="12.85546875" bestFit="1" customWidth="1"/>
    <col min="11" max="11" width="2.140625" bestFit="1" customWidth="1"/>
    <col min="12" max="12" width="12.28515625" bestFit="1" customWidth="1"/>
    <col min="13" max="13" width="23.5703125" customWidth="1"/>
    <col min="14" max="14" width="17.85546875" customWidth="1"/>
    <col min="15" max="18" width="15.85546875" bestFit="1" customWidth="1"/>
    <col min="19" max="19" width="14.85546875" bestFit="1" customWidth="1"/>
    <col min="20" max="20" width="14" bestFit="1" customWidth="1"/>
    <col min="21" max="21" width="6.7109375" bestFit="1" customWidth="1"/>
    <col min="22" max="22" width="6.5703125" customWidth="1"/>
    <col min="27" max="27" width="10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9" t="s">
        <v>29</v>
      </c>
      <c r="G1" s="1" t="s">
        <v>14</v>
      </c>
      <c r="H1" s="1" t="s">
        <v>11</v>
      </c>
      <c r="I1" s="1" t="s">
        <v>12</v>
      </c>
      <c r="J1" s="1" t="s">
        <v>13</v>
      </c>
      <c r="K1" s="13" t="s">
        <v>9</v>
      </c>
      <c r="L1" s="13" t="s">
        <v>10</v>
      </c>
      <c r="M1" s="13" t="s">
        <v>16</v>
      </c>
      <c r="N1" s="13" t="s">
        <v>17</v>
      </c>
      <c r="O1" s="13" t="s">
        <v>18</v>
      </c>
      <c r="P1" s="1" t="s">
        <v>6</v>
      </c>
      <c r="Q1" s="1" t="s">
        <v>7</v>
      </c>
      <c r="R1" s="1" t="s">
        <v>15</v>
      </c>
      <c r="S1" s="1" t="s">
        <v>8</v>
      </c>
      <c r="T1" s="22" t="s">
        <v>27</v>
      </c>
      <c r="U1" s="1" t="s">
        <v>20</v>
      </c>
      <c r="V1" s="1" t="s">
        <v>21</v>
      </c>
    </row>
    <row r="2" spans="1:22" x14ac:dyDescent="0.25">
      <c r="A2" s="1">
        <v>0</v>
      </c>
      <c r="B2" s="1">
        <v>18</v>
      </c>
      <c r="C2" s="1">
        <v>1</v>
      </c>
      <c r="D2" s="1">
        <v>3</v>
      </c>
      <c r="E2" s="1">
        <v>1</v>
      </c>
      <c r="G2" s="1">
        <v>1</v>
      </c>
      <c r="H2" s="1">
        <v>18</v>
      </c>
      <c r="I2" s="1">
        <v>1</v>
      </c>
      <c r="J2" s="1">
        <v>3</v>
      </c>
      <c r="K2" s="1">
        <v>1</v>
      </c>
      <c r="L2" s="1">
        <f>($V$2*H2)+(0*I2)+($V$4*J2)+$V$5</f>
        <v>-5.1420999999999992</v>
      </c>
      <c r="M2" s="1">
        <f>1/(1+EXP(-L2))</f>
        <v>5.8114313228969294E-3</v>
      </c>
      <c r="N2" s="1">
        <f>-(K2*LN(M2)+(1-K2)*LN(1-M2))</f>
        <v>5.1479283833990293</v>
      </c>
      <c r="O2" s="1">
        <f>M2-K2</f>
        <v>-0.99418856867710304</v>
      </c>
      <c r="P2" s="1">
        <f>$V$2 - $V$6*O2*H2</f>
        <v>1.4813394236187856</v>
      </c>
      <c r="Q2" s="1">
        <f>$V$3 - $V$6*O2*I2</f>
        <v>-0.18068114313228972</v>
      </c>
      <c r="R2" s="1">
        <f>$V$4 - $V$6*O2*J2</f>
        <v>0.29825657060313093</v>
      </c>
      <c r="S2" s="1">
        <f>$V$5 - $V$6*O2</f>
        <v>0.50491885686771032</v>
      </c>
      <c r="T2" s="22"/>
      <c r="U2" s="1" t="s">
        <v>6</v>
      </c>
      <c r="V2" s="10">
        <v>-0.30819999999999997</v>
      </c>
    </row>
    <row r="3" spans="1:22" x14ac:dyDescent="0.25">
      <c r="A3" s="1">
        <v>1</v>
      </c>
      <c r="B3" s="1">
        <v>21</v>
      </c>
      <c r="C3" s="1">
        <v>2</v>
      </c>
      <c r="D3" s="1">
        <v>3</v>
      </c>
      <c r="E3" s="1">
        <v>0</v>
      </c>
      <c r="G3" s="1">
        <v>2</v>
      </c>
      <c r="H3" s="1">
        <v>21</v>
      </c>
      <c r="I3" s="1">
        <v>2</v>
      </c>
      <c r="J3" s="1">
        <v>3</v>
      </c>
      <c r="K3" s="1">
        <v>0</v>
      </c>
      <c r="L3" s="1">
        <f>($V$2*H3)+(0*I3)+($V$4*J3)+$V$5</f>
        <v>-6.0666999999999991</v>
      </c>
      <c r="M3" s="1">
        <f>1/(1+EXP(-L3))</f>
        <v>2.3134482273045524E-3</v>
      </c>
      <c r="N3" s="1">
        <f>-(K3*LN(M3)+(1-K3)*LN(1-M3))</f>
        <v>2.3161283830536489E-3</v>
      </c>
      <c r="O3" s="1">
        <f t="shared" ref="O3:O6" si="0">M3-K3</f>
        <v>2.3134482273045524E-3</v>
      </c>
      <c r="P3" s="1">
        <f>$V$2 - $V$6*O3*H3</f>
        <v>-0.31305824127733956</v>
      </c>
      <c r="Q3" s="1">
        <f>$V$3 - $V$6*O3*I3</f>
        <v>-0.28056268964546094</v>
      </c>
      <c r="R3" s="1">
        <f>$V$4 - $V$6*O3*J3</f>
        <v>-6.9403446819136573E-4</v>
      </c>
      <c r="S3" s="1">
        <f>$V$5 - $V$6*O3</f>
        <v>0.40526865517726957</v>
      </c>
      <c r="U3" s="1" t="s">
        <v>7</v>
      </c>
      <c r="V3" s="11">
        <v>-0.28010000000000002</v>
      </c>
    </row>
    <row r="4" spans="1:22" x14ac:dyDescent="0.25">
      <c r="A4" s="1">
        <v>1</v>
      </c>
      <c r="B4" s="1">
        <v>19</v>
      </c>
      <c r="C4" s="1">
        <v>1</v>
      </c>
      <c r="D4" s="1">
        <v>3</v>
      </c>
      <c r="E4" s="1">
        <v>1</v>
      </c>
      <c r="G4" s="1">
        <v>3</v>
      </c>
      <c r="H4" s="1">
        <v>19</v>
      </c>
      <c r="I4" s="1">
        <v>1</v>
      </c>
      <c r="J4" s="1">
        <v>3</v>
      </c>
      <c r="K4" s="1">
        <v>1</v>
      </c>
      <c r="L4" s="1">
        <f>($V$2*H4)+(0*I4)+($V$4*J4)+$V$5</f>
        <v>-5.4502999999999995</v>
      </c>
      <c r="M4" s="1">
        <f>1/(1+EXP(-L4))</f>
        <v>4.2766477222972582E-3</v>
      </c>
      <c r="N4" s="1">
        <f>-(K4*LN(M4)+(1-K4)*LN(1-M4))</f>
        <v>5.4545858187369731</v>
      </c>
      <c r="O4" s="1">
        <f t="shared" si="0"/>
        <v>-0.9957233522777027</v>
      </c>
      <c r="P4" s="1">
        <f>$V$2 - $V$6*O4*H4</f>
        <v>1.5836743693276352</v>
      </c>
      <c r="Q4" s="1">
        <f>$V$3 - $V$6*O4*I4</f>
        <v>-0.18052766477222976</v>
      </c>
      <c r="R4" s="1">
        <f>$V$4 - $V$6*O4*J4</f>
        <v>0.29871700568331083</v>
      </c>
      <c r="S4" s="1">
        <f>$V$5 - $V$6*O4</f>
        <v>0.50507233522777029</v>
      </c>
      <c r="U4" s="1" t="s">
        <v>15</v>
      </c>
      <c r="V4" s="12">
        <v>0</v>
      </c>
    </row>
    <row r="5" spans="1:22" x14ac:dyDescent="0.25">
      <c r="A5" s="1">
        <v>0</v>
      </c>
      <c r="B5" s="1">
        <v>22</v>
      </c>
      <c r="C5" s="1">
        <v>3</v>
      </c>
      <c r="D5" s="1">
        <v>3</v>
      </c>
      <c r="E5" s="1">
        <v>1</v>
      </c>
      <c r="G5" s="1">
        <v>4</v>
      </c>
      <c r="H5" s="1">
        <v>22</v>
      </c>
      <c r="I5" s="1">
        <v>3</v>
      </c>
      <c r="J5" s="1">
        <v>3</v>
      </c>
      <c r="K5" s="1">
        <v>1</v>
      </c>
      <c r="L5" s="1">
        <f>($V$2*H5)+(0*I5)+($V$4*J5)+$V$5</f>
        <v>-6.3748999999999993</v>
      </c>
      <c r="M5" s="1">
        <f>1/(1+EXP(-L5))</f>
        <v>1.7008922028913149E-3</v>
      </c>
      <c r="N5" s="1">
        <f>-(K5*LN(M5)+(1-K5)*LN(1-M5))</f>
        <v>6.3766023403623748</v>
      </c>
      <c r="O5" s="1">
        <f t="shared" si="0"/>
        <v>-0.99829910779710873</v>
      </c>
      <c r="P5" s="1">
        <f>$V$2 - $V$6*O5*H5</f>
        <v>1.8880580371536391</v>
      </c>
      <c r="Q5" s="1">
        <f>$V$3 - $V$6*O5*I5</f>
        <v>1.9389732339132604E-2</v>
      </c>
      <c r="R5" s="1">
        <f>$V$4 - $V$6*O5*J5</f>
        <v>0.29948973233913262</v>
      </c>
      <c r="S5" s="1">
        <f>$V$5 - $V$6*O5</f>
        <v>0.5053299107797109</v>
      </c>
      <c r="U5" s="1" t="s">
        <v>8</v>
      </c>
      <c r="V5" s="10">
        <v>0.40550000000000003</v>
      </c>
    </row>
    <row r="6" spans="1:22" x14ac:dyDescent="0.25">
      <c r="A6" s="1">
        <v>1</v>
      </c>
      <c r="B6" s="1">
        <v>23</v>
      </c>
      <c r="C6" s="1">
        <v>4</v>
      </c>
      <c r="D6" s="1">
        <v>3</v>
      </c>
      <c r="E6" s="1">
        <v>0</v>
      </c>
      <c r="G6" s="1">
        <v>5</v>
      </c>
      <c r="H6" s="1">
        <v>23</v>
      </c>
      <c r="I6" s="1">
        <v>4</v>
      </c>
      <c r="J6" s="1">
        <v>3</v>
      </c>
      <c r="K6" s="1">
        <v>0</v>
      </c>
      <c r="L6" s="1">
        <f>($V$2*H6)+(0*I6)+($V$4*J6)+$V$5</f>
        <v>-6.6830999999999996</v>
      </c>
      <c r="M6" s="1">
        <f>1/(1+EXP(-L6))</f>
        <v>1.2503258168822277E-3</v>
      </c>
      <c r="N6" s="1">
        <f>-(K6*LN(M6)+(1-K6)*LN(1-M6))</f>
        <v>1.2511081263688944E-3</v>
      </c>
      <c r="O6" s="1">
        <f t="shared" si="0"/>
        <v>1.2503258168822277E-3</v>
      </c>
      <c r="P6" s="1">
        <f>$V$2 - $V$6*O6*H6</f>
        <v>-0.31107574937882909</v>
      </c>
      <c r="Q6" s="1">
        <f>$V$3 - $V$6*O6*I6</f>
        <v>-0.28060013032675291</v>
      </c>
      <c r="R6" s="1">
        <f>$V$4 - $V$6*O6*J6</f>
        <v>-3.7509774506466834E-4</v>
      </c>
      <c r="S6" s="1">
        <f>$V$5 - $V$6*O6</f>
        <v>0.4053749674183118</v>
      </c>
      <c r="U6" s="1" t="s">
        <v>19</v>
      </c>
      <c r="V6" s="10">
        <v>0.1</v>
      </c>
    </row>
    <row r="7" spans="1:22" x14ac:dyDescent="0.25">
      <c r="A7" s="1">
        <v>0</v>
      </c>
      <c r="B7" s="1">
        <v>20</v>
      </c>
      <c r="C7" s="1">
        <v>2</v>
      </c>
      <c r="D7" s="1">
        <v>3.5</v>
      </c>
      <c r="E7" s="2" t="s">
        <v>5</v>
      </c>
      <c r="G7" s="1">
        <v>6</v>
      </c>
      <c r="H7" s="1">
        <v>20</v>
      </c>
      <c r="I7" s="1">
        <v>2</v>
      </c>
      <c r="J7" s="1">
        <v>3.5</v>
      </c>
      <c r="K7" s="2" t="s">
        <v>5</v>
      </c>
      <c r="L7" s="1"/>
      <c r="M7" s="1"/>
      <c r="N7" s="1"/>
      <c r="O7" s="1"/>
      <c r="P7" s="1"/>
      <c r="Q7" s="1"/>
      <c r="R7" s="1"/>
      <c r="S7" s="1"/>
    </row>
    <row r="8" spans="1:22" x14ac:dyDescent="0.25">
      <c r="M8" s="9" t="s">
        <v>22</v>
      </c>
      <c r="N8" s="8">
        <f>SUM(N2:N6)</f>
        <v>16.9826837790078</v>
      </c>
      <c r="O8" s="8">
        <f>SUM(O2:O6)</f>
        <v>-2.9846472547077281</v>
      </c>
      <c r="P8" s="8">
        <f>SUM(P2:P6)</f>
        <v>4.3289378394438911</v>
      </c>
      <c r="Q8" s="8">
        <f t="shared" ref="Q8:S8" si="1">SUM(Q2:Q6)</f>
        <v>-0.90298189553760078</v>
      </c>
      <c r="R8" s="8">
        <f t="shared" si="1"/>
        <v>0.89539417641231833</v>
      </c>
      <c r="S8" s="8">
        <f t="shared" si="1"/>
        <v>2.3259647254707727</v>
      </c>
      <c r="T8" t="s">
        <v>28</v>
      </c>
      <c r="U8" s="5"/>
      <c r="V8" s="5"/>
    </row>
    <row r="9" spans="1:22" x14ac:dyDescent="0.25">
      <c r="A9" s="3"/>
      <c r="B9" s="4"/>
      <c r="C9" s="5"/>
      <c r="D9" s="5"/>
      <c r="E9" s="5"/>
      <c r="F9" s="5"/>
      <c r="G9" s="5"/>
      <c r="H9" s="5"/>
      <c r="I9" s="5"/>
      <c r="J9" s="5"/>
      <c r="K9" s="5"/>
      <c r="M9" s="9" t="s">
        <v>23</v>
      </c>
      <c r="N9">
        <f>SUM(N2:N6)/COUNT(N2:N6)</f>
        <v>3.3965367558015602</v>
      </c>
      <c r="U9" s="5"/>
      <c r="V9" s="14"/>
    </row>
    <row r="10" spans="1:22" x14ac:dyDescent="0.25">
      <c r="A10" s="6"/>
      <c r="B10" s="7"/>
      <c r="C10" s="5"/>
      <c r="D10" s="5"/>
      <c r="E10" s="5"/>
      <c r="F10" s="5"/>
      <c r="G10" s="21" t="s">
        <v>30</v>
      </c>
      <c r="H10" s="21"/>
      <c r="I10" s="21"/>
      <c r="J10" s="5"/>
      <c r="K10" s="5"/>
      <c r="O10" s="9" t="s">
        <v>24</v>
      </c>
      <c r="P10">
        <f>SUMPRODUCT($O$2:$O$6,$H$2:$H$6)/COUNT($O$2:$O$6)</f>
        <v>-11.739875678887781</v>
      </c>
      <c r="Q10">
        <f>SUMPRODUCT($O$2:$O$6,$I$2:$I$6)/COUNT($O$2:$O$6)</f>
        <v>-0.99503620892479872</v>
      </c>
      <c r="R10">
        <f>SUMPRODUCT($O$2:$O$6,$J$2:$J$6)/COUNT($O$2:$O$6)</f>
        <v>-1.7907883528246367</v>
      </c>
      <c r="U10" s="5"/>
      <c r="V10" s="15"/>
    </row>
    <row r="11" spans="1:22" x14ac:dyDescent="0.25">
      <c r="A11" s="6"/>
      <c r="B11" s="7"/>
      <c r="C11" s="5"/>
      <c r="D11" s="5"/>
      <c r="E11" s="5"/>
      <c r="F11" s="5"/>
      <c r="G11" s="1"/>
      <c r="H11" s="17">
        <v>1</v>
      </c>
      <c r="I11" s="17">
        <v>2</v>
      </c>
      <c r="J11" s="17">
        <v>3</v>
      </c>
      <c r="K11" s="5"/>
      <c r="O11" s="9" t="s">
        <v>25</v>
      </c>
      <c r="P11">
        <f>SUM($O$2:$O$6)/COUNT($O$2:$O$6)</f>
        <v>-0.59692945094154559</v>
      </c>
      <c r="U11" s="5"/>
      <c r="V11" s="16"/>
    </row>
    <row r="12" spans="1:22" x14ac:dyDescent="0.25">
      <c r="A12" s="6"/>
      <c r="B12" s="7"/>
      <c r="C12" s="5"/>
      <c r="D12" s="5"/>
      <c r="E12" s="5"/>
      <c r="F12" s="5"/>
      <c r="G12" s="1" t="s">
        <v>26</v>
      </c>
      <c r="H12" s="1">
        <f>$V$2 - $V$6 * (SUMPRODUCT($O$2:$O$6,$H$2:$H$6)/COUNT($O$2:$O$6))</f>
        <v>0.86578756788877809</v>
      </c>
      <c r="I12" s="1">
        <f>$V$3 - $V$6 * (SUMPRODUCT($O$2:$O$6,$I$2:$I$6)/COUNT($O$2:$O$6))</f>
        <v>-0.18059637910752013</v>
      </c>
      <c r="J12" s="1">
        <f>$V$4 - $V$6 * (SUMPRODUCT($O$2:$O$6,$J$2:$J$6)/COUNT($O$2:$O$6))</f>
        <v>0.17907883528246368</v>
      </c>
      <c r="K12" s="5"/>
      <c r="U12" s="5"/>
      <c r="V12" s="14"/>
    </row>
    <row r="13" spans="1:22" x14ac:dyDescent="0.25">
      <c r="A13" s="6"/>
      <c r="B13" s="7"/>
      <c r="C13" s="5"/>
      <c r="D13" s="5"/>
      <c r="E13" s="5"/>
      <c r="F13" s="5"/>
      <c r="G13" s="1" t="s">
        <v>8</v>
      </c>
      <c r="H13" s="1">
        <f>$V$5 - $V$6 * (SUM($O$2:$O$6)/COUNT($O$2:$O$6))</f>
        <v>0.4651929450941546</v>
      </c>
      <c r="I13" s="1"/>
      <c r="J13" s="1"/>
      <c r="K13" s="5"/>
      <c r="U13" s="5"/>
      <c r="V13" s="14"/>
    </row>
    <row r="14" spans="1:22" x14ac:dyDescent="0.25">
      <c r="A14" s="6"/>
      <c r="B14" s="7"/>
      <c r="C14" s="5"/>
      <c r="D14" s="5"/>
      <c r="E14" s="5"/>
      <c r="F14" s="5"/>
      <c r="G14" s="1" t="s">
        <v>19</v>
      </c>
      <c r="H14" s="10">
        <v>0.1</v>
      </c>
      <c r="I14" s="1"/>
      <c r="J14" s="1"/>
      <c r="K14" s="5"/>
    </row>
    <row r="15" spans="1:22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22" x14ac:dyDescent="0.25">
      <c r="A16" s="5"/>
      <c r="B16" s="5"/>
      <c r="C16" s="5"/>
      <c r="D16" s="5"/>
      <c r="E16" s="5"/>
      <c r="F16" s="20" t="s">
        <v>31</v>
      </c>
      <c r="G16" s="18" t="s">
        <v>14</v>
      </c>
      <c r="H16" s="1" t="s">
        <v>11</v>
      </c>
      <c r="I16" s="1" t="s">
        <v>12</v>
      </c>
      <c r="J16" s="1" t="s">
        <v>13</v>
      </c>
      <c r="K16" s="13" t="s">
        <v>9</v>
      </c>
      <c r="L16" s="13" t="s">
        <v>10</v>
      </c>
      <c r="M16" s="13" t="s">
        <v>16</v>
      </c>
      <c r="N16" s="13" t="s">
        <v>17</v>
      </c>
      <c r="O16" s="13" t="s">
        <v>18</v>
      </c>
      <c r="P16" s="1" t="s">
        <v>6</v>
      </c>
      <c r="Q16" s="1" t="s">
        <v>7</v>
      </c>
      <c r="R16" s="1" t="s">
        <v>15</v>
      </c>
      <c r="S16" s="1" t="s">
        <v>8</v>
      </c>
    </row>
    <row r="17" spans="1:19" x14ac:dyDescent="0.25">
      <c r="A17" s="5"/>
      <c r="B17" s="5"/>
      <c r="C17" s="5"/>
      <c r="D17" s="5"/>
      <c r="E17" s="5"/>
      <c r="G17" s="1">
        <v>1</v>
      </c>
      <c r="H17" s="1">
        <v>18</v>
      </c>
      <c r="I17" s="1">
        <v>1</v>
      </c>
      <c r="J17" s="1">
        <v>3</v>
      </c>
      <c r="K17" s="1">
        <v>1</v>
      </c>
      <c r="L17" s="1">
        <f>($H$12*H17)+($I$12*I17)+($J$12*J17)+$H$13</f>
        <v>16.406009293832032</v>
      </c>
      <c r="M17" s="1">
        <f>1/(1+EXP(-L17))</f>
        <v>0.99999992501737134</v>
      </c>
      <c r="N17" s="1">
        <f>-(K17*LN(M17)+(1-K17)*LN(1-M17))</f>
        <v>7.4982631472876924E-8</v>
      </c>
      <c r="O17" s="1">
        <f>M17-K17</f>
        <v>-7.4982628661679485E-8</v>
      </c>
      <c r="P17" s="1">
        <f>$H$12 - $V$6*O17*H17</f>
        <v>0.86578770285750972</v>
      </c>
      <c r="Q17" s="1">
        <f>$I$12 - $V$6*O17*I17</f>
        <v>-0.18059637160925726</v>
      </c>
      <c r="R17" s="1">
        <f>$J$12 - $V$6*O17*J17</f>
        <v>0.17907885777725227</v>
      </c>
      <c r="S17" s="1">
        <f>$H$14 - $V$6*O17</f>
        <v>0.10000000749826288</v>
      </c>
    </row>
    <row r="18" spans="1:19" x14ac:dyDescent="0.25">
      <c r="A18" s="5"/>
      <c r="B18" s="5"/>
      <c r="C18" s="5"/>
      <c r="D18" s="5"/>
      <c r="E18" s="5"/>
      <c r="G18" s="1">
        <v>2</v>
      </c>
      <c r="H18" s="1">
        <v>21</v>
      </c>
      <c r="I18" s="1">
        <v>2</v>
      </c>
      <c r="J18" s="1">
        <v>3</v>
      </c>
      <c r="K18" s="1">
        <v>0</v>
      </c>
      <c r="L18" s="1">
        <f>($H$12*H18)+($I$12*I18)+($J$12*J18)+$H$13</f>
        <v>18.82277561839085</v>
      </c>
      <c r="M18" s="1">
        <f>1/(1+EXP(-L18))</f>
        <v>0.99999999331082723</v>
      </c>
      <c r="N18" s="1">
        <f>-(K18*LN(M18)+(1-K18)*LN(1-M18))</f>
        <v>18.822775621984501</v>
      </c>
      <c r="O18" s="1">
        <f>M18-K18</f>
        <v>0.99999999331082723</v>
      </c>
      <c r="P18" s="1">
        <f>$H$12 - $V$6*O18*H18</f>
        <v>-1.2342124180639591</v>
      </c>
      <c r="Q18" s="1">
        <f t="shared" ref="Q18:Q21" si="2">$I$12 - $V$6*O18*I18</f>
        <v>-0.38059637776968558</v>
      </c>
      <c r="R18" s="1">
        <f t="shared" ref="R18:R21" si="3">$J$12 - $V$6*O18*J18</f>
        <v>-0.12092116271078449</v>
      </c>
      <c r="S18" s="1">
        <f t="shared" ref="S18:S21" si="4">$H$14 - $V$6*O18</f>
        <v>6.6891728267570727E-10</v>
      </c>
    </row>
    <row r="19" spans="1:19" x14ac:dyDescent="0.25">
      <c r="A19" s="5"/>
      <c r="B19" s="5"/>
      <c r="C19" s="5"/>
      <c r="D19" s="5"/>
      <c r="E19" s="5"/>
      <c r="G19" s="1">
        <v>3</v>
      </c>
      <c r="H19" s="1">
        <v>19</v>
      </c>
      <c r="I19" s="1">
        <v>1</v>
      </c>
      <c r="J19" s="1">
        <v>3</v>
      </c>
      <c r="K19" s="1">
        <v>1</v>
      </c>
      <c r="L19" s="1">
        <f>($H$12*H19)+($I$12*I19)+($J$12*J19)+$H$13</f>
        <v>17.271796861720812</v>
      </c>
      <c r="M19" s="1">
        <f>1/(1+EXP(-L19))</f>
        <v>0.9999999684533013</v>
      </c>
      <c r="N19" s="1">
        <f>-(K19*LN(M19)+(1-K19)*LN(1-M19))</f>
        <v>3.1546699195356831E-8</v>
      </c>
      <c r="O19" s="1">
        <f t="shared" ref="O18:O21" si="5">M19-K19</f>
        <v>-3.1546698697759723E-8</v>
      </c>
      <c r="P19" s="1">
        <f t="shared" ref="P18:P21" si="6">$H$12 - $V$6*O19*H19</f>
        <v>0.86578762782750562</v>
      </c>
      <c r="Q19" s="1">
        <f t="shared" si="2"/>
        <v>-0.18059637595285027</v>
      </c>
      <c r="R19" s="1">
        <f t="shared" si="3"/>
        <v>0.17907884474647329</v>
      </c>
      <c r="S19" s="1">
        <f t="shared" si="4"/>
        <v>0.10000000315466988</v>
      </c>
    </row>
    <row r="20" spans="1:19" x14ac:dyDescent="0.25">
      <c r="A20" s="5"/>
      <c r="B20" s="5"/>
      <c r="C20" s="5"/>
      <c r="D20" s="5"/>
      <c r="E20" s="5"/>
      <c r="G20" s="1">
        <v>4</v>
      </c>
      <c r="H20" s="1">
        <v>22</v>
      </c>
      <c r="I20" s="1">
        <v>3</v>
      </c>
      <c r="J20" s="1">
        <v>3</v>
      </c>
      <c r="K20" s="1">
        <v>1</v>
      </c>
      <c r="L20" s="1">
        <f>($H$12*H20)+($I$12*I20)+($J$12*J20)+$H$13</f>
        <v>19.507966807172107</v>
      </c>
      <c r="M20" s="1">
        <f>1/(1+EXP(-L20))</f>
        <v>0.99999999662869787</v>
      </c>
      <c r="N20" s="1">
        <f>-(K20*LN(M20)+(1-K20)*LN(1-M20))</f>
        <v>3.3713021320365649E-9</v>
      </c>
      <c r="O20" s="1">
        <f t="shared" si="5"/>
        <v>-3.3713021263537257E-9</v>
      </c>
      <c r="P20" s="1">
        <f t="shared" si="6"/>
        <v>0.86578757530564276</v>
      </c>
      <c r="Q20" s="1">
        <f t="shared" si="2"/>
        <v>-0.1805963780961295</v>
      </c>
      <c r="R20" s="1">
        <f t="shared" si="3"/>
        <v>0.17907883629385432</v>
      </c>
      <c r="S20" s="1">
        <f t="shared" si="4"/>
        <v>0.10000000033713022</v>
      </c>
    </row>
    <row r="21" spans="1:19" x14ac:dyDescent="0.25">
      <c r="A21" s="5"/>
      <c r="B21" s="5"/>
      <c r="C21" s="5"/>
      <c r="D21" s="5"/>
      <c r="E21" s="5"/>
      <c r="G21" s="1">
        <v>5</v>
      </c>
      <c r="H21" s="1">
        <v>23</v>
      </c>
      <c r="I21" s="1">
        <v>4</v>
      </c>
      <c r="J21" s="1">
        <v>3</v>
      </c>
      <c r="K21" s="1">
        <v>0</v>
      </c>
      <c r="L21" s="1">
        <f>($H$12*H21)+($I$12*I21)+($J$12*J21)+$H$13</f>
        <v>20.193157995953364</v>
      </c>
      <c r="M21" s="1">
        <f>1/(1+EXP(-L21))</f>
        <v>0.99999999830088449</v>
      </c>
      <c r="N21" s="1">
        <f>-(K21*LN(M21)+(1-K21)*LN(1-M21))</f>
        <v>20.193158006601607</v>
      </c>
      <c r="O21" s="1">
        <f t="shared" si="5"/>
        <v>0.99999999830088449</v>
      </c>
      <c r="P21" s="1">
        <f t="shared" si="6"/>
        <v>-1.4342124282032562</v>
      </c>
      <c r="Q21" s="1">
        <f t="shared" si="2"/>
        <v>-0.58059637842787393</v>
      </c>
      <c r="R21" s="1">
        <f t="shared" si="3"/>
        <v>-0.12092116420780166</v>
      </c>
      <c r="S21" s="1">
        <f t="shared" si="4"/>
        <v>1.6991155704637606E-10</v>
      </c>
    </row>
    <row r="22" spans="1:19" x14ac:dyDescent="0.25">
      <c r="G22" s="1">
        <v>6</v>
      </c>
      <c r="H22" s="1">
        <v>20</v>
      </c>
      <c r="I22" s="1">
        <v>2</v>
      </c>
      <c r="J22" s="1">
        <v>3.5</v>
      </c>
      <c r="K22" s="2" t="s">
        <v>5</v>
      </c>
      <c r="L22" s="1"/>
      <c r="M22" s="1"/>
      <c r="N22" s="1"/>
      <c r="O22" s="1"/>
      <c r="P22" s="1"/>
      <c r="Q22" s="1"/>
      <c r="R22" s="1"/>
      <c r="S22" s="1"/>
    </row>
    <row r="23" spans="1:19" x14ac:dyDescent="0.25">
      <c r="M23" s="9" t="s">
        <v>22</v>
      </c>
      <c r="N23" s="8">
        <f>SUM(N17:N21)</f>
        <v>39.015933738486737</v>
      </c>
      <c r="O23" s="8">
        <f>SUM(O17:O21)</f>
        <v>1.9999998817110822</v>
      </c>
      <c r="P23" s="8">
        <f>SUM(P17:P21)</f>
        <v>-7.1061940276557101E-2</v>
      </c>
      <c r="Q23" s="8">
        <f t="shared" ref="Q23:S23" si="7">SUM(Q17:Q21)</f>
        <v>-1.5029818818557965</v>
      </c>
      <c r="R23" s="8">
        <f t="shared" si="7"/>
        <v>0.29539421189899373</v>
      </c>
      <c r="S23" s="8">
        <f t="shared" si="7"/>
        <v>0.3000000118288918</v>
      </c>
    </row>
    <row r="24" spans="1:19" x14ac:dyDescent="0.25">
      <c r="F24" s="5"/>
      <c r="G24" s="5"/>
      <c r="H24" s="5"/>
      <c r="I24" s="5"/>
      <c r="J24" s="5"/>
      <c r="K24" s="5"/>
      <c r="M24" s="9" t="s">
        <v>23</v>
      </c>
      <c r="N24">
        <f>SUM(N17:N21)/COUNT(N17:N21)</f>
        <v>7.8031867476973478</v>
      </c>
    </row>
    <row r="25" spans="1:19" x14ac:dyDescent="0.25">
      <c r="O25" s="9" t="s">
        <v>24</v>
      </c>
      <c r="P25">
        <f>SUMPRODUCT($O$17:$O$21,$H$2:$H$6)/COUNT($O$17:$O$21)</f>
        <v>8.7999995594408951</v>
      </c>
      <c r="Q25">
        <f>SUMPRODUCT(O17:O21,$I$2:$I$6)/COUNT(O17:O21)</f>
        <v>1.1999999726363917</v>
      </c>
      <c r="R25">
        <f>SUMPRODUCT(O17:O21,$J$2:$J$6)/COUNT(O17:O21)</f>
        <v>1.1999999290266492</v>
      </c>
    </row>
    <row r="26" spans="1:19" x14ac:dyDescent="0.25">
      <c r="O26" s="9" t="s">
        <v>25</v>
      </c>
      <c r="P26">
        <f>SUM($O$17:$O$21)/COUNT($O$17:$O$21)</f>
        <v>0.39999997634221646</v>
      </c>
    </row>
    <row r="27" spans="1:19" x14ac:dyDescent="0.25">
      <c r="G27" s="21" t="s">
        <v>32</v>
      </c>
      <c r="H27" s="21"/>
      <c r="I27" s="21"/>
      <c r="J27" s="5"/>
      <c r="L27" s="9" t="s">
        <v>33</v>
      </c>
    </row>
    <row r="28" spans="1:19" x14ac:dyDescent="0.25">
      <c r="G28" s="1"/>
      <c r="H28" s="17">
        <v>1</v>
      </c>
      <c r="I28" s="17">
        <v>2</v>
      </c>
      <c r="J28" s="17">
        <v>3</v>
      </c>
      <c r="L28" s="1" t="s">
        <v>10</v>
      </c>
      <c r="M28" s="1" t="s">
        <v>34</v>
      </c>
      <c r="N28" s="1" t="s">
        <v>35</v>
      </c>
    </row>
    <row r="29" spans="1:19" x14ac:dyDescent="0.25">
      <c r="G29" s="1" t="s">
        <v>26</v>
      </c>
      <c r="H29" s="1">
        <f>H12 - $V$6 * (SUMPRODUCT(O17:O21,$H$2:$H$6)/COUNT(O17:O21))</f>
        <v>-1.4212388055311442E-2</v>
      </c>
      <c r="I29" s="1">
        <f>I12 - $V$6 * (SUMPRODUCT(O17:O21,$I$2:$I$6)/COUNT(O17:O21))</f>
        <v>-0.30059637637115932</v>
      </c>
      <c r="J29" s="1">
        <f>J12 - $V$6 * (SUMPRODUCT(O17:O21,$J$2:$J$6)/COUNT(O17:O21))</f>
        <v>5.9078842379798754E-2</v>
      </c>
      <c r="L29" s="1">
        <f>($H$29*H22) + ($I$29*I22) + ($J$29*J22) + $H$30</f>
        <v>-0.25347161805931884</v>
      </c>
      <c r="M29" s="1">
        <f>1/(1+EXP(-L29))</f>
        <v>0.4369692008484633</v>
      </c>
      <c r="N29" s="1">
        <f>IF(M29 &gt;= 0.5, 1, 0)</f>
        <v>0</v>
      </c>
    </row>
    <row r="30" spans="1:19" x14ac:dyDescent="0.25">
      <c r="G30" s="1" t="s">
        <v>8</v>
      </c>
      <c r="H30" s="1">
        <f>H13 - $V$6 * (SUM(O17:O21)/COUNT(O17:O21))</f>
        <v>0.42519294745993297</v>
      </c>
      <c r="I30" s="1"/>
      <c r="J30" s="1"/>
    </row>
    <row r="31" spans="1:19" x14ac:dyDescent="0.25">
      <c r="G31" s="1" t="s">
        <v>19</v>
      </c>
      <c r="H31" s="10">
        <v>0.1</v>
      </c>
      <c r="I31" s="1"/>
      <c r="J31" s="1"/>
    </row>
  </sheetData>
  <mergeCells count="3">
    <mergeCell ref="T1:T2"/>
    <mergeCell ref="G27:I27"/>
    <mergeCell ref="G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Gilang Aldiano</dc:creator>
  <cp:lastModifiedBy>Gilang Aldiano</cp:lastModifiedBy>
  <dcterms:created xsi:type="dcterms:W3CDTF">2025-11-06T10:57:04Z</dcterms:created>
  <dcterms:modified xsi:type="dcterms:W3CDTF">2025-11-06T15:08:17Z</dcterms:modified>
</cp:coreProperties>
</file>