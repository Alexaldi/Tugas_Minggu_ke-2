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8ec76bc85ac72461/Dokumen/kuliah/Semester_5/Pembelajaran_Mesin/Tugas/Tugas_Minggu_ke-2/"/>
    </mc:Choice>
  </mc:AlternateContent>
  <xr:revisionPtr revIDLastSave="567" documentId="8_{386B1577-4293-4A14-850B-664DC483EAE3}" xr6:coauthVersionLast="47" xr6:coauthVersionMax="47" xr10:uidLastSave="{2BF8552E-C164-4F0A-B219-2BEB6C8D156E}"/>
  <bookViews>
    <workbookView xWindow="-108" yWindow="-108" windowWidth="23256" windowHeight="13176" activeTab="5" xr2:uid="{3B7EA80B-56CE-4662-B89D-B149FABF2C34}"/>
  </bookViews>
  <sheets>
    <sheet name="Tree 1" sheetId="2" r:id="rId1"/>
    <sheet name="Tree 2" sheetId="1" r:id="rId2"/>
    <sheet name="Tree 3" sheetId="5" r:id="rId3"/>
    <sheet name="Tree 4" sheetId="6" r:id="rId4"/>
    <sheet name="Tree 5" sheetId="7" r:id="rId5"/>
    <sheet name="random forest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8" l="1"/>
  <c r="E15" i="8"/>
  <c r="F15" i="8"/>
  <c r="G15" i="8"/>
  <c r="D15" i="8"/>
  <c r="J15" i="8" s="1"/>
  <c r="H4" i="8"/>
  <c r="H5" i="8"/>
  <c r="H6" i="8"/>
  <c r="H7" i="8"/>
  <c r="H8" i="8"/>
  <c r="H9" i="8"/>
  <c r="H10" i="8"/>
  <c r="H11" i="8"/>
  <c r="H12" i="8"/>
  <c r="G12" i="8"/>
  <c r="G4" i="8"/>
  <c r="G5" i="8"/>
  <c r="G6" i="8"/>
  <c r="G7" i="8"/>
  <c r="G8" i="8"/>
  <c r="G9" i="8"/>
  <c r="G10" i="8"/>
  <c r="G11" i="8"/>
  <c r="F4" i="8"/>
  <c r="F5" i="8"/>
  <c r="F6" i="8"/>
  <c r="F7" i="8"/>
  <c r="F8" i="8"/>
  <c r="F9" i="8"/>
  <c r="F10" i="8"/>
  <c r="F11" i="8"/>
  <c r="F12" i="8"/>
  <c r="H3" i="8"/>
  <c r="G3" i="8"/>
  <c r="F3" i="8"/>
  <c r="E4" i="8"/>
  <c r="E5" i="8"/>
  <c r="E6" i="8"/>
  <c r="J6" i="8" s="1"/>
  <c r="E7" i="8"/>
  <c r="E8" i="8"/>
  <c r="E9" i="8"/>
  <c r="E10" i="8"/>
  <c r="E11" i="8"/>
  <c r="E12" i="8"/>
  <c r="E3" i="8"/>
  <c r="D4" i="8"/>
  <c r="I4" i="8" s="1"/>
  <c r="D5" i="8"/>
  <c r="I5" i="8" s="1"/>
  <c r="D6" i="8"/>
  <c r="I6" i="8" s="1"/>
  <c r="K6" i="8" s="1"/>
  <c r="L6" i="8" s="1"/>
  <c r="D7" i="8"/>
  <c r="I7" i="8" s="1"/>
  <c r="D8" i="8"/>
  <c r="I8" i="8" s="1"/>
  <c r="D9" i="8"/>
  <c r="I9" i="8" s="1"/>
  <c r="D10" i="8"/>
  <c r="I10" i="8" s="1"/>
  <c r="D11" i="8"/>
  <c r="J11" i="8" s="1"/>
  <c r="D12" i="8"/>
  <c r="I12" i="8" s="1"/>
  <c r="D3" i="8"/>
  <c r="I3" i="8" s="1"/>
  <c r="Q4" i="5"/>
  <c r="Q5" i="5"/>
  <c r="Q6" i="5"/>
  <c r="Q7" i="5"/>
  <c r="Q8" i="5"/>
  <c r="Q9" i="5"/>
  <c r="Q10" i="5"/>
  <c r="Q11" i="5"/>
  <c r="Q12" i="5"/>
  <c r="Q3" i="5"/>
  <c r="P5" i="6"/>
  <c r="Q24" i="7"/>
  <c r="V3" i="7"/>
  <c r="Q24" i="5"/>
  <c r="K13" i="7"/>
  <c r="K12" i="7"/>
  <c r="K11" i="7"/>
  <c r="E26" i="6"/>
  <c r="D26" i="6"/>
  <c r="C26" i="6"/>
  <c r="G30" i="6" a="1"/>
  <c r="G30" i="6" s="1"/>
  <c r="K14" i="6"/>
  <c r="G29" i="6"/>
  <c r="K13" i="6"/>
  <c r="K12" i="6"/>
  <c r="K11" i="6"/>
  <c r="R5" i="5"/>
  <c r="K25" i="5"/>
  <c r="M25" i="5" s="1"/>
  <c r="J25" i="5"/>
  <c r="R25" i="5" s="1"/>
  <c r="I25" i="5"/>
  <c r="G25" i="5"/>
  <c r="H25" i="5" s="1"/>
  <c r="F25" i="5"/>
  <c r="E25" i="5"/>
  <c r="D25" i="5"/>
  <c r="Q25" i="5" s="1"/>
  <c r="C25" i="5"/>
  <c r="K24" i="5"/>
  <c r="M24" i="5" s="1"/>
  <c r="J24" i="5"/>
  <c r="R24" i="5" s="1"/>
  <c r="E24" i="5"/>
  <c r="G24" i="5" s="1"/>
  <c r="D24" i="5"/>
  <c r="F24" i="5" s="1"/>
  <c r="H24" i="5" s="1"/>
  <c r="C24" i="5"/>
  <c r="I24" i="5" s="1"/>
  <c r="L24" i="5" s="1"/>
  <c r="K13" i="5"/>
  <c r="K12" i="5"/>
  <c r="K11" i="5"/>
  <c r="E24" i="1"/>
  <c r="E23" i="1"/>
  <c r="Q23" i="1" s="1"/>
  <c r="D24" i="1"/>
  <c r="D23" i="1"/>
  <c r="C24" i="1"/>
  <c r="C23" i="1"/>
  <c r="K11" i="1"/>
  <c r="K12" i="1"/>
  <c r="K26" i="2"/>
  <c r="M26" i="2" s="1"/>
  <c r="I26" i="2"/>
  <c r="E26" i="2"/>
  <c r="G26" i="2" s="1"/>
  <c r="D26" i="2"/>
  <c r="F26" i="2" s="1"/>
  <c r="C26" i="2"/>
  <c r="E25" i="2"/>
  <c r="G25" i="2" s="1"/>
  <c r="D25" i="2"/>
  <c r="F25" i="2" s="1"/>
  <c r="H25" i="2" s="1"/>
  <c r="C25" i="2"/>
  <c r="I25" i="2" s="1"/>
  <c r="I24" i="2"/>
  <c r="E24" i="2"/>
  <c r="G24" i="2" s="1"/>
  <c r="D24" i="2"/>
  <c r="Q24" i="2" s="1"/>
  <c r="C24" i="2"/>
  <c r="K23" i="2"/>
  <c r="M23" i="2" s="1"/>
  <c r="I23" i="2"/>
  <c r="E23" i="2"/>
  <c r="G23" i="2" s="1"/>
  <c r="D23" i="2"/>
  <c r="F23" i="2" s="1"/>
  <c r="H23" i="2" s="1"/>
  <c r="C23" i="2"/>
  <c r="C15" i="2"/>
  <c r="K25" i="2" s="1"/>
  <c r="M14" i="2"/>
  <c r="J14" i="2"/>
  <c r="C14" i="2"/>
  <c r="J25" i="2" s="1"/>
  <c r="J13" i="2"/>
  <c r="C13" i="2"/>
  <c r="J12" i="2"/>
  <c r="J11" i="2"/>
  <c r="E11" i="2" a="1"/>
  <c r="E11" i="2" s="1"/>
  <c r="F7" i="2"/>
  <c r="F6" i="2"/>
  <c r="F8" i="2" s="1"/>
  <c r="K9" i="8" l="1"/>
  <c r="L9" i="8" s="1"/>
  <c r="K8" i="8"/>
  <c r="L8" i="8" s="1"/>
  <c r="K7" i="8"/>
  <c r="L7" i="8" s="1"/>
  <c r="J3" i="8"/>
  <c r="K3" i="8" s="1"/>
  <c r="L3" i="8" s="1"/>
  <c r="J12" i="8"/>
  <c r="K12" i="8" s="1"/>
  <c r="L12" i="8" s="1"/>
  <c r="J10" i="8"/>
  <c r="K10" i="8" s="1"/>
  <c r="L10" i="8" s="1"/>
  <c r="I11" i="8"/>
  <c r="K11" i="8" s="1"/>
  <c r="L11" i="8" s="1"/>
  <c r="J8" i="8"/>
  <c r="J4" i="8"/>
  <c r="K4" i="8" s="1"/>
  <c r="L4" i="8" s="1"/>
  <c r="J9" i="8"/>
  <c r="J7" i="8"/>
  <c r="J5" i="8"/>
  <c r="K5" i="8" s="1"/>
  <c r="L5" i="8" s="1"/>
  <c r="I15" i="8"/>
  <c r="K15" i="8" s="1"/>
  <c r="L15" i="8" s="1"/>
  <c r="F26" i="6"/>
  <c r="G26" i="6"/>
  <c r="Q26" i="6"/>
  <c r="G31" i="6" a="1"/>
  <c r="G31" i="6" s="1"/>
  <c r="N24" i="5"/>
  <c r="L25" i="5"/>
  <c r="N25" i="5" s="1"/>
  <c r="O25" i="5" s="1"/>
  <c r="P25" i="5" s="1"/>
  <c r="O24" i="5"/>
  <c r="P24" i="5" s="1"/>
  <c r="C23" i="5"/>
  <c r="L3" i="5" a="1"/>
  <c r="L3" i="5" s="1"/>
  <c r="Q24" i="1"/>
  <c r="L3" i="1" a="1"/>
  <c r="L3" i="1" s="1"/>
  <c r="L25" i="2"/>
  <c r="R25" i="2"/>
  <c r="M25" i="2"/>
  <c r="H26" i="2"/>
  <c r="J23" i="2"/>
  <c r="F24" i="2"/>
  <c r="H24" i="2" s="1"/>
  <c r="J26" i="2"/>
  <c r="Q25" i="2"/>
  <c r="J24" i="2"/>
  <c r="K24" i="2"/>
  <c r="M24" i="2" s="1"/>
  <c r="Q23" i="2"/>
  <c r="Q26" i="2"/>
  <c r="G23" i="1"/>
  <c r="G24" i="1"/>
  <c r="F23" i="1"/>
  <c r="H23" i="1" s="1"/>
  <c r="F24" i="1"/>
  <c r="N3" i="8" l="1"/>
  <c r="D24" i="7"/>
  <c r="C25" i="7"/>
  <c r="L3" i="7" a="1"/>
  <c r="L3" i="7" s="1"/>
  <c r="C23" i="7"/>
  <c r="C24" i="7"/>
  <c r="E24" i="7"/>
  <c r="G24" i="7" s="1"/>
  <c r="E23" i="7"/>
  <c r="D25" i="7"/>
  <c r="F25" i="7" s="1"/>
  <c r="D23" i="7"/>
  <c r="F23" i="7" s="1"/>
  <c r="E25" i="7"/>
  <c r="C14" i="7"/>
  <c r="C13" i="7"/>
  <c r="C15" i="7"/>
  <c r="H26" i="6"/>
  <c r="C13" i="6"/>
  <c r="I26" i="6" s="1"/>
  <c r="C14" i="6"/>
  <c r="J26" i="6" s="1"/>
  <c r="C15" i="6"/>
  <c r="K26" i="6" s="1"/>
  <c r="M26" i="6" s="1"/>
  <c r="E24" i="6"/>
  <c r="E23" i="6"/>
  <c r="D23" i="6"/>
  <c r="D25" i="6"/>
  <c r="F25" i="6" s="1"/>
  <c r="D24" i="6"/>
  <c r="L3" i="6" a="1"/>
  <c r="L3" i="6" s="1"/>
  <c r="C24" i="6"/>
  <c r="C23" i="6"/>
  <c r="E25" i="6"/>
  <c r="C25" i="6"/>
  <c r="C15" i="5"/>
  <c r="D23" i="5"/>
  <c r="F23" i="5" s="1"/>
  <c r="E23" i="5"/>
  <c r="G23" i="5" s="1"/>
  <c r="C14" i="5"/>
  <c r="C13" i="5"/>
  <c r="I23" i="5" s="1"/>
  <c r="C13" i="1"/>
  <c r="I24" i="1" s="1"/>
  <c r="C15" i="1"/>
  <c r="C14" i="1"/>
  <c r="L24" i="2"/>
  <c r="N24" i="2" s="1"/>
  <c r="O24" i="2" s="1"/>
  <c r="P24" i="2" s="1"/>
  <c r="R24" i="2"/>
  <c r="L26" i="2"/>
  <c r="N26" i="2" s="1"/>
  <c r="O26" i="2" s="1"/>
  <c r="P26" i="2" s="1"/>
  <c r="R26" i="2"/>
  <c r="R23" i="2"/>
  <c r="L23" i="2"/>
  <c r="N23" i="2" s="1"/>
  <c r="O23" i="2" s="1"/>
  <c r="P23" i="2" s="1"/>
  <c r="N25" i="2"/>
  <c r="O25" i="2" s="1"/>
  <c r="P25" i="2" s="1"/>
  <c r="H24" i="1"/>
  <c r="R26" i="6" l="1"/>
  <c r="L26" i="6"/>
  <c r="N26" i="6" s="1"/>
  <c r="G25" i="7"/>
  <c r="H25" i="7" s="1"/>
  <c r="I24" i="7"/>
  <c r="F24" i="7"/>
  <c r="H24" i="7" s="1"/>
  <c r="J25" i="7"/>
  <c r="G23" i="7"/>
  <c r="Q23" i="7"/>
  <c r="J24" i="7"/>
  <c r="Q25" i="7"/>
  <c r="K23" i="7"/>
  <c r="I7" i="7"/>
  <c r="I6" i="7"/>
  <c r="K24" i="7"/>
  <c r="I23" i="7"/>
  <c r="J23" i="7"/>
  <c r="I25" i="7"/>
  <c r="K25" i="7"/>
  <c r="O26" i="6"/>
  <c r="I25" i="6"/>
  <c r="I23" i="6"/>
  <c r="I24" i="6"/>
  <c r="I7" i="6"/>
  <c r="I6" i="6"/>
  <c r="I8" i="6" s="1"/>
  <c r="K25" i="6"/>
  <c r="G25" i="6"/>
  <c r="Q24" i="6"/>
  <c r="J24" i="6"/>
  <c r="F24" i="6"/>
  <c r="J25" i="6"/>
  <c r="Q25" i="6"/>
  <c r="F23" i="6"/>
  <c r="Q23" i="6"/>
  <c r="J23" i="6"/>
  <c r="G23" i="6"/>
  <c r="K23" i="6"/>
  <c r="G24" i="6"/>
  <c r="K24" i="6"/>
  <c r="H23" i="5"/>
  <c r="I6" i="5"/>
  <c r="K23" i="5"/>
  <c r="M23" i="5" s="1"/>
  <c r="J23" i="5"/>
  <c r="L23" i="5" s="1"/>
  <c r="Q23" i="5"/>
  <c r="I7" i="5"/>
  <c r="I6" i="1"/>
  <c r="I23" i="1"/>
  <c r="K24" i="1"/>
  <c r="M24" i="1" s="1"/>
  <c r="K23" i="1"/>
  <c r="I7" i="1"/>
  <c r="J24" i="1"/>
  <c r="J23" i="1"/>
  <c r="L16" i="2"/>
  <c r="L17" i="2" s="1"/>
  <c r="P26" i="6" l="1"/>
  <c r="M24" i="6"/>
  <c r="L24" i="7"/>
  <c r="L25" i="7"/>
  <c r="H23" i="7"/>
  <c r="L23" i="7"/>
  <c r="R24" i="7"/>
  <c r="R23" i="7"/>
  <c r="I8" i="7"/>
  <c r="M23" i="7"/>
  <c r="M24" i="7"/>
  <c r="M25" i="7"/>
  <c r="R25" i="7"/>
  <c r="M23" i="6"/>
  <c r="M25" i="6"/>
  <c r="H25" i="6"/>
  <c r="H24" i="6"/>
  <c r="L23" i="6"/>
  <c r="R23" i="6"/>
  <c r="H23" i="6"/>
  <c r="R25" i="6"/>
  <c r="L25" i="6"/>
  <c r="R24" i="6"/>
  <c r="L24" i="6"/>
  <c r="N24" i="6" s="1"/>
  <c r="I8" i="5"/>
  <c r="N23" i="5"/>
  <c r="O23" i="5" s="1"/>
  <c r="R23" i="5"/>
  <c r="R24" i="1"/>
  <c r="I8" i="1"/>
  <c r="L24" i="1"/>
  <c r="N24" i="1" s="1"/>
  <c r="O24" i="1" s="1"/>
  <c r="M23" i="1"/>
  <c r="R23" i="1"/>
  <c r="L23" i="1"/>
  <c r="O6" i="2"/>
  <c r="P6" i="2" s="1"/>
  <c r="O10" i="2"/>
  <c r="P10" i="2" s="1"/>
  <c r="O5" i="2"/>
  <c r="P5" i="2" s="1"/>
  <c r="O9" i="2"/>
  <c r="P9" i="2" s="1"/>
  <c r="O4" i="2"/>
  <c r="P4" i="2" s="1"/>
  <c r="O12" i="2"/>
  <c r="P12" i="2" s="1"/>
  <c r="O8" i="2"/>
  <c r="P8" i="2" s="1"/>
  <c r="U3" i="2"/>
  <c r="O3" i="2"/>
  <c r="P3" i="2" s="1"/>
  <c r="O11" i="2"/>
  <c r="P11" i="2" s="1"/>
  <c r="O7" i="2"/>
  <c r="P7" i="2" s="1"/>
  <c r="O25" i="6" l="1"/>
  <c r="N24" i="7"/>
  <c r="O24" i="7" s="1"/>
  <c r="P24" i="7" s="1"/>
  <c r="N25" i="7"/>
  <c r="O25" i="7" s="1"/>
  <c r="P25" i="7" s="1"/>
  <c r="N23" i="7"/>
  <c r="O23" i="7" s="1"/>
  <c r="P23" i="7" s="1"/>
  <c r="N25" i="6"/>
  <c r="N23" i="6"/>
  <c r="O23" i="6" s="1"/>
  <c r="P23" i="6" s="1"/>
  <c r="O24" i="6"/>
  <c r="P24" i="6" s="1"/>
  <c r="P23" i="5"/>
  <c r="P24" i="1"/>
  <c r="N23" i="1"/>
  <c r="O23" i="1" s="1"/>
  <c r="P23" i="1" s="1"/>
  <c r="M13" i="2"/>
  <c r="P25" i="6" l="1"/>
  <c r="N16" i="7"/>
  <c r="N17" i="7" s="1"/>
  <c r="P11" i="7" s="1"/>
  <c r="Q11" i="7" s="1"/>
  <c r="N16" i="6"/>
  <c r="N17" i="6" s="1"/>
  <c r="P7" i="6" s="1"/>
  <c r="Q7" i="6" s="1"/>
  <c r="N16" i="5"/>
  <c r="N17" i="5" s="1"/>
  <c r="R3" i="5" s="1"/>
  <c r="N16" i="1"/>
  <c r="N17" i="1" s="1"/>
  <c r="Q7" i="1" s="1"/>
  <c r="R7" i="1" s="1"/>
  <c r="P7" i="7" l="1"/>
  <c r="Q7" i="7" s="1"/>
  <c r="P12" i="7"/>
  <c r="Q12" i="7" s="1"/>
  <c r="P10" i="7"/>
  <c r="Q10" i="7" s="1"/>
  <c r="P9" i="7"/>
  <c r="Q9" i="7" s="1"/>
  <c r="P6" i="7"/>
  <c r="Q6" i="7" s="1"/>
  <c r="P3" i="7"/>
  <c r="Q3" i="7" s="1"/>
  <c r="P8" i="7"/>
  <c r="Q8" i="7" s="1"/>
  <c r="P5" i="7"/>
  <c r="Q5" i="7" s="1"/>
  <c r="P4" i="7"/>
  <c r="Q4" i="7" s="1"/>
  <c r="V3" i="6"/>
  <c r="P12" i="6"/>
  <c r="Q12" i="6" s="1"/>
  <c r="P4" i="6"/>
  <c r="Q4" i="6" s="1"/>
  <c r="P9" i="6"/>
  <c r="Q9" i="6" s="1"/>
  <c r="P10" i="6"/>
  <c r="Q10" i="6" s="1"/>
  <c r="P3" i="6"/>
  <c r="Q3" i="6" s="1"/>
  <c r="P8" i="6"/>
  <c r="Q8" i="6" s="1"/>
  <c r="Q5" i="6"/>
  <c r="P6" i="6"/>
  <c r="Q6" i="6" s="1"/>
  <c r="P11" i="6"/>
  <c r="Q11" i="6" s="1"/>
  <c r="R7" i="5"/>
  <c r="R4" i="5"/>
  <c r="R10" i="5"/>
  <c r="R11" i="5"/>
  <c r="V3" i="5"/>
  <c r="R9" i="5"/>
  <c r="R6" i="5"/>
  <c r="R8" i="5"/>
  <c r="R12" i="5"/>
  <c r="Q11" i="1"/>
  <c r="R11" i="1" s="1"/>
  <c r="Q6" i="1"/>
  <c r="R6" i="1" s="1"/>
  <c r="Q10" i="1"/>
  <c r="R10" i="1" s="1"/>
  <c r="Q5" i="1"/>
  <c r="R5" i="1" s="1"/>
  <c r="Q9" i="1"/>
  <c r="R9" i="1" s="1"/>
  <c r="Q4" i="1"/>
  <c r="R4" i="1" s="1"/>
  <c r="Q12" i="1"/>
  <c r="R12" i="1" s="1"/>
  <c r="Q8" i="1"/>
  <c r="R8" i="1" s="1"/>
  <c r="V3" i="1"/>
  <c r="Q3" i="1"/>
  <c r="R3" i="1" s="1"/>
  <c r="N13" i="7" l="1"/>
  <c r="N14" i="7" s="1"/>
  <c r="N13" i="6"/>
  <c r="N14" i="6" s="1"/>
  <c r="O13" i="5"/>
  <c r="O14" i="5" s="1"/>
  <c r="O13" i="1"/>
  <c r="O14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<sst xmlns="http://schemas.openxmlformats.org/spreadsheetml/2006/main" count="393" uniqueCount="77">
  <si>
    <t>Index</t>
  </si>
  <si>
    <t>Age</t>
  </si>
  <si>
    <t>Depression</t>
  </si>
  <si>
    <t>Data Uji</t>
  </si>
  <si>
    <t>Data Latih</t>
  </si>
  <si>
    <t>Total Data:</t>
  </si>
  <si>
    <t>Total Depresi</t>
  </si>
  <si>
    <t>Total Tidak Depresi</t>
  </si>
  <si>
    <t>Proporsi 1</t>
  </si>
  <si>
    <t>Proporsi 2</t>
  </si>
  <si>
    <t xml:space="preserve">Gini </t>
  </si>
  <si>
    <t>Impurity Awal</t>
  </si>
  <si>
    <t>Hitung Entropy</t>
  </si>
  <si>
    <t>No</t>
  </si>
  <si>
    <t>Nilai A</t>
  </si>
  <si>
    <t>Nilai B</t>
  </si>
  <si>
    <t>Threshold</t>
  </si>
  <si>
    <t>Calon Treshold</t>
  </si>
  <si>
    <t>Total_L</t>
  </si>
  <si>
    <t>Dep1_L</t>
  </si>
  <si>
    <t>Dep0_L</t>
  </si>
  <si>
    <t>p1_L</t>
  </si>
  <si>
    <t>p0_L</t>
  </si>
  <si>
    <t>Gini_L</t>
  </si>
  <si>
    <t>Total_R</t>
  </si>
  <si>
    <t>Dep1_R</t>
  </si>
  <si>
    <t>Dep0_R</t>
  </si>
  <si>
    <t>p1_R</t>
  </si>
  <si>
    <t>p0_R</t>
  </si>
  <si>
    <t>Gini_R</t>
  </si>
  <si>
    <t>Gini_Split</t>
  </si>
  <si>
    <t>Reduction</t>
  </si>
  <si>
    <t>Hitung entropy Age</t>
  </si>
  <si>
    <t>Ket:</t>
  </si>
  <si>
    <t>Dep1 =</t>
  </si>
  <si>
    <t>L =</t>
  </si>
  <si>
    <t>left</t>
  </si>
  <si>
    <t>depresi</t>
  </si>
  <si>
    <t>Dep 0 =</t>
  </si>
  <si>
    <t>tidak depresi</t>
  </si>
  <si>
    <t>Probabilitas</t>
  </si>
  <si>
    <t>R=</t>
  </si>
  <si>
    <t>right</t>
  </si>
  <si>
    <t>p =</t>
  </si>
  <si>
    <t>Reduction terbesar =</t>
  </si>
  <si>
    <t>Threshold_Terbaik =</t>
  </si>
  <si>
    <t>Pred_Left</t>
  </si>
  <si>
    <t>Pred_right</t>
  </si>
  <si>
    <t>Pred_Tree1</t>
  </si>
  <si>
    <t>Pred_left_Terbaik =</t>
  </si>
  <si>
    <t xml:space="preserve">Pred_Right_Terbaik = </t>
  </si>
  <si>
    <t>Benar?</t>
  </si>
  <si>
    <t>Jumlah Benar</t>
  </si>
  <si>
    <t>Akurasi</t>
  </si>
  <si>
    <t>tree 1</t>
  </si>
  <si>
    <t xml:space="preserve"> </t>
  </si>
  <si>
    <t>Entropy</t>
  </si>
  <si>
    <t>No_sample</t>
  </si>
  <si>
    <t>Index_sample</t>
  </si>
  <si>
    <t>Age_T2</t>
  </si>
  <si>
    <t>Dep_T2</t>
  </si>
  <si>
    <t>tree 2</t>
  </si>
  <si>
    <t>Age_T3</t>
  </si>
  <si>
    <t>Dep_T3</t>
  </si>
  <si>
    <t>tree 3</t>
  </si>
  <si>
    <t>Pred_Tree3</t>
  </si>
  <si>
    <t>tree 4</t>
  </si>
  <si>
    <t>tree 5</t>
  </si>
  <si>
    <t>Pred_Tree5</t>
  </si>
  <si>
    <t>Pred_Tree4</t>
  </si>
  <si>
    <t>Pred_Tree2</t>
  </si>
  <si>
    <t>Vote_1</t>
  </si>
  <si>
    <t>Vote_0</t>
  </si>
  <si>
    <t>Pred_RF</t>
  </si>
  <si>
    <t>Benar</t>
  </si>
  <si>
    <t>akurasi</t>
  </si>
  <si>
    <t>Data Ujii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</si>
</sst>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1" xfId="0" applyFill="1" applyBorder="1" applyAlignment="1">
      <alignment vertical="center" wrapText="1"/>
    </xf>
    <xf numFmtId="0" fontId="0" fillId="0" borderId="3" xfId="0" applyBorder="1"/>
    <xf numFmtId="0" fontId="0" fillId="2" borderId="1" xfId="0" applyFill="1" applyBorder="1"/>
    <xf numFmtId="0" fontId="0" fillId="2" borderId="0" xfId="0" applyFill="1" applyAlignment="1">
      <alignment vertical="center" wrapText="1"/>
    </xf>
    <xf numFmtId="0" fontId="0" fillId="2" borderId="0" xfId="0" applyFill="1"/>
    <xf numFmtId="0" fontId="1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 wrapText="1"/>
    </xf>
    <xf numFmtId="0" fontId="0" fillId="3" borderId="1" xfId="0" applyFill="1" applyBorder="1"/>
    <xf numFmtId="0" fontId="0" fillId="0" borderId="3" xfId="0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0" fillId="4" borderId="3" xfId="0" applyFill="1" applyBorder="1"/>
    <xf numFmtId="0" fontId="0" fillId="4" borderId="0" xfId="0" applyFill="1" applyAlignment="1">
      <alignment vertical="center" wrapText="1"/>
    </xf>
    <xf numFmtId="0" fontId="0" fillId="4" borderId="0" xfId="0" applyFill="1"/>
    <xf numFmtId="0" fontId="0" fillId="3" borderId="7" xfId="0" applyFill="1" applyBorder="1"/>
    <xf numFmtId="0" fontId="0" fillId="2" borderId="6" xfId="0" applyFill="1" applyBorder="1" applyAlignment="1">
      <alignment vertical="center" wrapText="1"/>
    </xf>
    <xf numFmtId="0" fontId="0" fillId="2" borderId="6" xfId="0" applyFill="1" applyBorder="1"/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  <xf numFmtId="0" fontId="0" fillId="5" borderId="2" xfId="0" applyFill="1" applyBorder="1" applyAlignment="1">
      <alignment horizontal="center"/>
    </xf>
    <xf numFmtId="0" fontId="0" fillId="5" borderId="1" xfId="0" applyFill="1" applyBorder="1" applyAlignment="1">
      <alignment vertical="center" wrapText="1"/>
    </xf>
    <xf numFmtId="0" fontId="0" fillId="5" borderId="3" xfId="0" applyFill="1" applyBorder="1" applyAlignment="1">
      <alignment horizontal="center"/>
    </xf>
    <xf numFmtId="0" fontId="0" fillId="5" borderId="0" xfId="0" applyFill="1"/>
    <xf numFmtId="0" fontId="0" fillId="5" borderId="0" xfId="0" applyFill="1" applyAlignment="1">
      <alignment horizontal="center"/>
    </xf>
    <xf numFmtId="0" fontId="0" fillId="6" borderId="0" xfId="0" applyFill="1" applyAlignment="1">
      <alignment horizontal="center"/>
    </xf>
    <xf numFmtId="0" fontId="0" fillId="6" borderId="1" xfId="0" applyFill="1" applyBorder="1"/>
    <xf numFmtId="0" fontId="0" fillId="6" borderId="0" xfId="0" applyFill="1"/>
    <xf numFmtId="0" fontId="1" fillId="6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/>
    <xf numFmtId="0" fontId="1" fillId="6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7" borderId="0" xfId="0" applyFill="1"/>
    <xf numFmtId="0" fontId="1" fillId="7" borderId="1" xfId="0" applyFont="1" applyFill="1" applyBorder="1" applyAlignment="1">
      <alignment horizontal="center" vertical="center" wrapText="1"/>
    </xf>
    <xf numFmtId="0" fontId="0" fillId="7" borderId="1" xfId="0" applyFill="1" applyBorder="1" applyAlignment="1">
      <alignment vertical="center" wrapText="1"/>
    </xf>
    <xf numFmtId="0" fontId="0" fillId="7" borderId="1" xfId="0" applyFill="1" applyBorder="1"/>
    <xf numFmtId="0" fontId="0" fillId="0" borderId="0" xfId="0" applyFill="1"/>
    <xf numFmtId="0" fontId="1" fillId="8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vertical="center" wrapText="1"/>
    </xf>
    <xf numFmtId="0" fontId="0" fillId="8" borderId="1" xfId="0" applyFill="1" applyBorder="1"/>
    <xf numFmtId="0" fontId="1" fillId="5" borderId="4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vertical="center" wrapText="1"/>
    </xf>
    <xf numFmtId="0" fontId="0" fillId="5" borderId="4" xfId="0" applyFill="1" applyBorder="1"/>
    <xf numFmtId="0" fontId="0" fillId="5" borderId="4" xfId="0" applyFill="1" applyBorder="1" applyAlignment="1">
      <alignment vertical="center" wrapText="1"/>
    </xf>
    <xf numFmtId="0" fontId="0" fillId="5" borderId="5" xfId="0" applyFill="1" applyBorder="1" applyAlignment="1">
      <alignment vertical="center" wrapText="1"/>
    </xf>
    <xf numFmtId="0" fontId="0" fillId="5" borderId="6" xfId="0" applyFill="1" applyBorder="1" applyAlignment="1">
      <alignment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9" borderId="1" xfId="0" applyFont="1" applyFill="1" applyBorder="1" applyAlignment="1">
      <alignment horizontal="center" vertical="center" wrapText="1"/>
    </xf>
    <xf numFmtId="0" fontId="0" fillId="9" borderId="1" xfId="0" applyFill="1" applyBorder="1" applyAlignment="1">
      <alignment vertical="center" wrapText="1"/>
    </xf>
    <xf numFmtId="0" fontId="0" fillId="9" borderId="1" xfId="0" applyFill="1" applyBorder="1"/>
    <xf numFmtId="0" fontId="1" fillId="9" borderId="1" xfId="0" applyFont="1" applyFill="1" applyBorder="1" applyAlignment="1">
      <alignment vertical="center" wrapText="1"/>
    </xf>
    <xf numFmtId="0" fontId="0" fillId="0" borderId="3" xfId="0" applyFill="1" applyBorder="1" applyAlignment="1">
      <alignment vertical="center" wrapText="1"/>
    </xf>
    <xf numFmtId="0" fontId="0" fillId="0" borderId="3" xfId="0" applyFill="1" applyBorder="1"/>
    <xf numFmtId="0" fontId="0" fillId="0" borderId="0" xfId="0" applyFill="1" applyAlignment="1">
      <alignment vertical="center" wrapText="1"/>
    </xf>
    <xf numFmtId="0" fontId="1" fillId="10" borderId="4" xfId="0" applyFont="1" applyFill="1" applyBorder="1" applyAlignment="1">
      <alignment horizontal="center" vertical="center" wrapText="1"/>
    </xf>
    <xf numFmtId="0" fontId="1" fillId="10" borderId="1" xfId="0" applyFont="1" applyFill="1" applyBorder="1" applyAlignment="1">
      <alignment horizontal="center" vertical="center" wrapText="1"/>
    </xf>
    <xf numFmtId="0" fontId="1" fillId="10" borderId="4" xfId="0" applyFont="1" applyFill="1" applyBorder="1" applyAlignment="1">
      <alignment vertical="center" wrapText="1"/>
    </xf>
    <xf numFmtId="0" fontId="1" fillId="10" borderId="1" xfId="0" applyFont="1" applyFill="1" applyBorder="1" applyAlignment="1">
      <alignment vertical="center" wrapText="1"/>
    </xf>
    <xf numFmtId="0" fontId="0" fillId="10" borderId="4" xfId="0" applyFill="1" applyBorder="1"/>
    <xf numFmtId="0" fontId="0" fillId="10" borderId="1" xfId="0" applyFill="1" applyBorder="1"/>
    <xf numFmtId="0" fontId="0" fillId="10" borderId="1" xfId="0" applyFill="1" applyBorder="1" applyAlignment="1">
      <alignment vertical="center" wrapText="1"/>
    </xf>
    <xf numFmtId="0" fontId="1" fillId="10" borderId="1" xfId="0" applyFont="1" applyFill="1" applyBorder="1" applyAlignment="1">
      <alignment horizontal="center" vertical="center"/>
    </xf>
    <xf numFmtId="0" fontId="0" fillId="8" borderId="1" xfId="0" applyFill="1" applyBorder="1" applyAlignment="1">
      <alignment vertical="center" wrapText="1"/>
    </xf>
    <xf numFmtId="0" fontId="0" fillId="2" borderId="0" xfId="0" applyFont="1" applyFill="1"/>
    <xf numFmtId="0" fontId="2" fillId="5" borderId="1" xfId="0" applyFont="1" applyFill="1" applyBorder="1" applyAlignment="1">
      <alignment vertical="center" wrapText="1"/>
    </xf>
    <xf numFmtId="0" fontId="2" fillId="5" borderId="4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5959FE-D4FB-471D-8C28-1B6F612E858D}">
  <dimension ref="A1:U26"/>
  <sheetViews>
    <sheetView zoomScale="70" zoomScaleNormal="70" workbookViewId="0">
      <selection activeCell="O19" sqref="O19"/>
    </sheetView>
  </sheetViews>
  <sheetFormatPr defaultRowHeight="14.4" x14ac:dyDescent="0.3"/>
  <cols>
    <col min="1" max="1" width="6.6640625" customWidth="1"/>
    <col min="2" max="2" width="11.77734375" customWidth="1"/>
    <col min="3" max="3" width="8.33203125" customWidth="1"/>
    <col min="4" max="4" width="11.77734375" bestFit="1" customWidth="1"/>
    <col min="5" max="5" width="13.44140625" bestFit="1" customWidth="1"/>
    <col min="6" max="8" width="11.88671875" bestFit="1" customWidth="1"/>
    <col min="9" max="9" width="11.6640625" bestFit="1" customWidth="1"/>
    <col min="10" max="10" width="11.88671875" customWidth="1"/>
    <col min="12" max="16" width="11.88671875" bestFit="1" customWidth="1"/>
    <col min="20" max="20" width="11.6640625" customWidth="1"/>
    <col min="21" max="21" width="12.21875" customWidth="1"/>
  </cols>
  <sheetData>
    <row r="1" spans="1:21" x14ac:dyDescent="0.3">
      <c r="A1" s="30" t="s">
        <v>4</v>
      </c>
      <c r="B1" s="30"/>
      <c r="C1" s="30"/>
      <c r="E1" s="30" t="s">
        <v>3</v>
      </c>
      <c r="F1" s="30"/>
      <c r="G1" s="30"/>
      <c r="L1" s="49" t="s">
        <v>54</v>
      </c>
      <c r="M1" s="49" t="s">
        <v>4</v>
      </c>
      <c r="N1" s="49"/>
      <c r="O1" s="49"/>
      <c r="P1" s="49"/>
      <c r="Q1" s="49"/>
      <c r="R1" s="49" t="s">
        <v>76</v>
      </c>
      <c r="S1" s="49"/>
      <c r="T1" s="49"/>
      <c r="U1" s="49"/>
    </row>
    <row r="2" spans="1:21" ht="28.8" x14ac:dyDescent="0.3">
      <c r="A2" s="25" t="s">
        <v>0</v>
      </c>
      <c r="B2" s="25" t="s">
        <v>1</v>
      </c>
      <c r="C2" s="25" t="s">
        <v>2</v>
      </c>
      <c r="E2" s="25" t="s">
        <v>0</v>
      </c>
      <c r="F2" s="25" t="s">
        <v>1</v>
      </c>
      <c r="G2" s="25" t="s">
        <v>2</v>
      </c>
      <c r="I2" s="39"/>
      <c r="J2" s="39"/>
      <c r="L2" s="46" t="s">
        <v>0</v>
      </c>
      <c r="M2" s="46" t="s">
        <v>1</v>
      </c>
      <c r="N2" s="46" t="s">
        <v>2</v>
      </c>
      <c r="O2" s="46" t="s">
        <v>48</v>
      </c>
      <c r="P2" s="46" t="s">
        <v>51</v>
      </c>
      <c r="Q2" s="49"/>
      <c r="R2" s="50" t="s">
        <v>0</v>
      </c>
      <c r="S2" s="50" t="s">
        <v>1</v>
      </c>
      <c r="T2" s="50" t="s">
        <v>2</v>
      </c>
      <c r="U2" s="50" t="s">
        <v>48</v>
      </c>
    </row>
    <row r="3" spans="1:21" x14ac:dyDescent="0.3">
      <c r="A3" s="31">
        <v>0</v>
      </c>
      <c r="B3" s="31">
        <v>18</v>
      </c>
      <c r="C3" s="31">
        <v>1</v>
      </c>
      <c r="E3" s="26">
        <v>10</v>
      </c>
      <c r="F3" s="26">
        <v>20</v>
      </c>
      <c r="G3" s="26">
        <v>0</v>
      </c>
      <c r="I3" s="40"/>
      <c r="J3" s="40"/>
      <c r="L3" s="47">
        <v>0</v>
      </c>
      <c r="M3" s="47">
        <v>18</v>
      </c>
      <c r="N3" s="47">
        <v>1</v>
      </c>
      <c r="O3" s="48">
        <f xml:space="preserve">  IF( M3 &lt;= $L$17,$L$18,$L$19 )</f>
        <v>0</v>
      </c>
      <c r="P3" s="48">
        <f xml:space="preserve"> IF( O3 = N3, 1, 0 )</f>
        <v>0</v>
      </c>
      <c r="Q3" s="49"/>
      <c r="R3" s="51">
        <v>10</v>
      </c>
      <c r="S3" s="51">
        <v>20</v>
      </c>
      <c r="T3" s="51">
        <v>0</v>
      </c>
      <c r="U3" s="52">
        <f xml:space="preserve">  IF( S3 &lt;= $L$17,$L$18,$L$19 )</f>
        <v>0</v>
      </c>
    </row>
    <row r="4" spans="1:21" x14ac:dyDescent="0.3">
      <c r="A4" s="31">
        <v>1</v>
      </c>
      <c r="B4" s="31">
        <v>21</v>
      </c>
      <c r="C4" s="31">
        <v>0</v>
      </c>
      <c r="G4" s="4"/>
      <c r="L4" s="47">
        <v>1</v>
      </c>
      <c r="M4" s="47">
        <v>21</v>
      </c>
      <c r="N4" s="47">
        <v>0</v>
      </c>
      <c r="O4" s="48">
        <f t="shared" ref="O4:O12" si="0" xml:space="preserve">  IF( M4 &lt;= $L$17,$L$18,$L$19 )</f>
        <v>0</v>
      </c>
      <c r="P4" s="48">
        <f t="shared" ref="P4:P12" si="1" xml:space="preserve"> IF( O4 = N4, 1, 0 )</f>
        <v>1</v>
      </c>
      <c r="Q4" s="49"/>
      <c r="R4" s="49"/>
      <c r="S4" s="49"/>
      <c r="T4" s="49"/>
      <c r="U4" s="49"/>
    </row>
    <row r="5" spans="1:21" x14ac:dyDescent="0.3">
      <c r="A5" s="31">
        <v>2</v>
      </c>
      <c r="B5" s="31">
        <v>19</v>
      </c>
      <c r="C5" s="31">
        <v>1</v>
      </c>
      <c r="E5" s="35" t="s">
        <v>11</v>
      </c>
      <c r="F5" s="35"/>
      <c r="L5" s="47">
        <v>2</v>
      </c>
      <c r="M5" s="47">
        <v>19</v>
      </c>
      <c r="N5" s="47">
        <v>1</v>
      </c>
      <c r="O5" s="48">
        <f t="shared" si="0"/>
        <v>0</v>
      </c>
      <c r="P5" s="48">
        <f t="shared" si="1"/>
        <v>0</v>
      </c>
      <c r="Q5" s="49"/>
      <c r="R5" s="49"/>
      <c r="S5" s="49"/>
      <c r="T5" s="49"/>
      <c r="U5" s="49"/>
    </row>
    <row r="6" spans="1:21" x14ac:dyDescent="0.3">
      <c r="A6" s="31">
        <v>3</v>
      </c>
      <c r="B6" s="31">
        <v>22</v>
      </c>
      <c r="C6" s="31">
        <v>1</v>
      </c>
      <c r="E6" s="36" t="s">
        <v>8</v>
      </c>
      <c r="F6" s="36">
        <f>C14/C13</f>
        <v>0.4</v>
      </c>
      <c r="L6" s="47">
        <v>3</v>
      </c>
      <c r="M6" s="47">
        <v>22</v>
      </c>
      <c r="N6" s="47">
        <v>1</v>
      </c>
      <c r="O6" s="48">
        <f t="shared" si="0"/>
        <v>1</v>
      </c>
      <c r="P6" s="48">
        <f t="shared" si="1"/>
        <v>1</v>
      </c>
      <c r="Q6" s="49"/>
      <c r="R6" s="49"/>
      <c r="S6" s="49"/>
      <c r="T6" s="49"/>
      <c r="U6" s="49"/>
    </row>
    <row r="7" spans="1:21" x14ac:dyDescent="0.3">
      <c r="A7" s="31">
        <v>4</v>
      </c>
      <c r="B7" s="31">
        <v>23</v>
      </c>
      <c r="C7" s="31">
        <v>0</v>
      </c>
      <c r="E7" s="36" t="s">
        <v>9</v>
      </c>
      <c r="F7" s="36">
        <f>C15/C13</f>
        <v>0.6</v>
      </c>
      <c r="L7" s="47">
        <v>4</v>
      </c>
      <c r="M7" s="47">
        <v>23</v>
      </c>
      <c r="N7" s="47">
        <v>0</v>
      </c>
      <c r="O7" s="48">
        <f t="shared" si="0"/>
        <v>1</v>
      </c>
      <c r="P7" s="48">
        <f t="shared" si="1"/>
        <v>0</v>
      </c>
      <c r="Q7" s="49"/>
      <c r="R7" s="49"/>
      <c r="S7" s="49"/>
      <c r="T7" s="49"/>
      <c r="U7" s="49"/>
    </row>
    <row r="8" spans="1:21" x14ac:dyDescent="0.3">
      <c r="A8" s="31">
        <v>5</v>
      </c>
      <c r="B8" s="31">
        <v>19</v>
      </c>
      <c r="C8" s="31">
        <v>0</v>
      </c>
      <c r="E8" s="36" t="s">
        <v>10</v>
      </c>
      <c r="F8" s="36">
        <f>1 - (F6^2 +F7^2 )</f>
        <v>0.48</v>
      </c>
      <c r="L8" s="47">
        <v>5</v>
      </c>
      <c r="M8" s="47">
        <v>19</v>
      </c>
      <c r="N8" s="47">
        <v>0</v>
      </c>
      <c r="O8" s="48">
        <f t="shared" si="0"/>
        <v>0</v>
      </c>
      <c r="P8" s="48">
        <f t="shared" si="1"/>
        <v>1</v>
      </c>
      <c r="Q8" s="49"/>
      <c r="R8" s="49"/>
      <c r="S8" s="49"/>
      <c r="T8" s="49"/>
      <c r="U8" s="49"/>
    </row>
    <row r="9" spans="1:21" x14ac:dyDescent="0.3">
      <c r="A9" s="31">
        <v>6</v>
      </c>
      <c r="B9" s="31">
        <v>23</v>
      </c>
      <c r="C9" s="31">
        <v>1</v>
      </c>
      <c r="E9" s="37" t="s">
        <v>12</v>
      </c>
      <c r="G9" s="35" t="s">
        <v>17</v>
      </c>
      <c r="H9" s="35"/>
      <c r="I9" s="37"/>
      <c r="J9" s="37"/>
      <c r="L9" s="47">
        <v>6</v>
      </c>
      <c r="M9" s="47">
        <v>23</v>
      </c>
      <c r="N9" s="47">
        <v>1</v>
      </c>
      <c r="O9" s="48">
        <f t="shared" si="0"/>
        <v>1</v>
      </c>
      <c r="P9" s="48">
        <f t="shared" si="1"/>
        <v>1</v>
      </c>
      <c r="Q9" s="49"/>
      <c r="R9" s="49"/>
      <c r="S9" s="49"/>
      <c r="T9" s="49"/>
      <c r="U9" s="49"/>
    </row>
    <row r="10" spans="1:21" ht="18" customHeight="1" x14ac:dyDescent="0.3">
      <c r="A10" s="31">
        <v>7</v>
      </c>
      <c r="B10" s="31">
        <v>18</v>
      </c>
      <c r="C10" s="31">
        <v>0</v>
      </c>
      <c r="E10" s="38" t="s">
        <v>1</v>
      </c>
      <c r="G10" s="41" t="s">
        <v>13</v>
      </c>
      <c r="H10" s="41" t="s">
        <v>14</v>
      </c>
      <c r="I10" s="41" t="s">
        <v>15</v>
      </c>
      <c r="J10" s="41" t="s">
        <v>16</v>
      </c>
      <c r="K10" s="1"/>
      <c r="L10" s="47">
        <v>7</v>
      </c>
      <c r="M10" s="47">
        <v>18</v>
      </c>
      <c r="N10" s="47">
        <v>0</v>
      </c>
      <c r="O10" s="48">
        <f t="shared" si="0"/>
        <v>0</v>
      </c>
      <c r="P10" s="48">
        <f t="shared" si="1"/>
        <v>1</v>
      </c>
      <c r="Q10" s="49"/>
      <c r="R10" s="49"/>
      <c r="S10" s="49"/>
      <c r="T10" s="49"/>
      <c r="U10" s="49"/>
    </row>
    <row r="11" spans="1:21" x14ac:dyDescent="0.3">
      <c r="A11" s="31">
        <v>8</v>
      </c>
      <c r="B11" s="31">
        <v>19</v>
      </c>
      <c r="C11" s="31">
        <v>0</v>
      </c>
      <c r="E11" s="36" cm="1">
        <f t="array" ref="E11:E20" xml:space="preserve"> _xlfn._xlws.SORT(B3:B12)</f>
        <v>18</v>
      </c>
      <c r="G11" s="42">
        <v>1</v>
      </c>
      <c r="H11" s="42">
        <v>18</v>
      </c>
      <c r="I11" s="42">
        <v>19</v>
      </c>
      <c r="J11" s="42">
        <f>(H11 + I11)/2</f>
        <v>18.5</v>
      </c>
      <c r="K11" s="2"/>
      <c r="L11" s="47">
        <v>8</v>
      </c>
      <c r="M11" s="47">
        <v>19</v>
      </c>
      <c r="N11" s="47">
        <v>0</v>
      </c>
      <c r="O11" s="48">
        <f t="shared" si="0"/>
        <v>0</v>
      </c>
      <c r="P11" s="48">
        <f t="shared" si="1"/>
        <v>1</v>
      </c>
      <c r="Q11" s="49"/>
      <c r="R11" s="49"/>
      <c r="S11" s="49"/>
      <c r="T11" s="49"/>
      <c r="U11" s="49"/>
    </row>
    <row r="12" spans="1:21" x14ac:dyDescent="0.3">
      <c r="A12" s="31">
        <v>9</v>
      </c>
      <c r="B12" s="31">
        <v>18</v>
      </c>
      <c r="C12" s="31">
        <v>0</v>
      </c>
      <c r="E12" s="36">
        <v>18</v>
      </c>
      <c r="G12" s="42">
        <v>2</v>
      </c>
      <c r="H12" s="42">
        <v>19</v>
      </c>
      <c r="I12" s="42">
        <v>21</v>
      </c>
      <c r="J12" s="42">
        <f t="shared" ref="J12:J14" si="2">(H12 + I12)/2</f>
        <v>20</v>
      </c>
      <c r="K12" s="2"/>
      <c r="L12" s="47">
        <v>9</v>
      </c>
      <c r="M12" s="47">
        <v>18</v>
      </c>
      <c r="N12" s="47">
        <v>0</v>
      </c>
      <c r="O12" s="48">
        <f t="shared" si="0"/>
        <v>0</v>
      </c>
      <c r="P12" s="48">
        <f t="shared" si="1"/>
        <v>1</v>
      </c>
      <c r="Q12" s="49"/>
      <c r="R12" s="49"/>
      <c r="S12" s="49"/>
      <c r="T12" s="49"/>
      <c r="U12" s="49"/>
    </row>
    <row r="13" spans="1:21" x14ac:dyDescent="0.3">
      <c r="A13" s="32" t="s">
        <v>5</v>
      </c>
      <c r="B13" s="32"/>
      <c r="C13" s="33">
        <f>COUNT(C3:C12)</f>
        <v>10</v>
      </c>
      <c r="E13" s="36">
        <v>18</v>
      </c>
      <c r="G13" s="42">
        <v>3</v>
      </c>
      <c r="H13" s="42">
        <v>21</v>
      </c>
      <c r="I13" s="42">
        <v>22</v>
      </c>
      <c r="J13" s="42">
        <f t="shared" si="2"/>
        <v>21.5</v>
      </c>
      <c r="K13" s="2"/>
      <c r="L13" s="45" t="s">
        <v>52</v>
      </c>
      <c r="M13" s="45">
        <f xml:space="preserve"> SUM(P3:P12)</f>
        <v>7</v>
      </c>
      <c r="Q13" s="49"/>
      <c r="R13" s="49"/>
      <c r="S13" s="49"/>
      <c r="T13" s="49"/>
      <c r="U13" s="49"/>
    </row>
    <row r="14" spans="1:21" x14ac:dyDescent="0.3">
      <c r="A14" s="34" t="s">
        <v>6</v>
      </c>
      <c r="B14" s="34"/>
      <c r="C14" s="33">
        <f>COUNTIF(C3:C12,1)</f>
        <v>4</v>
      </c>
      <c r="E14" s="36">
        <v>19</v>
      </c>
      <c r="G14" s="42">
        <v>4</v>
      </c>
      <c r="H14" s="42">
        <v>22</v>
      </c>
      <c r="I14" s="42">
        <v>23</v>
      </c>
      <c r="J14" s="42">
        <f t="shared" si="2"/>
        <v>22.5</v>
      </c>
      <c r="K14" s="2"/>
      <c r="L14" s="45" t="s">
        <v>53</v>
      </c>
      <c r="M14" s="45">
        <f>7/10</f>
        <v>0.7</v>
      </c>
    </row>
    <row r="15" spans="1:21" x14ac:dyDescent="0.3">
      <c r="A15" s="34" t="s">
        <v>7</v>
      </c>
      <c r="B15" s="34"/>
      <c r="C15" s="33">
        <f>COUNTIF(C3:C12,0)</f>
        <v>6</v>
      </c>
      <c r="E15" s="36">
        <v>19</v>
      </c>
    </row>
    <row r="16" spans="1:21" x14ac:dyDescent="0.3">
      <c r="E16" s="36">
        <v>19</v>
      </c>
      <c r="G16" s="7" t="s">
        <v>33</v>
      </c>
      <c r="H16" s="7" t="s">
        <v>35</v>
      </c>
      <c r="I16" s="7" t="s">
        <v>36</v>
      </c>
      <c r="J16" s="20" t="s">
        <v>44</v>
      </c>
      <c r="K16" s="20"/>
      <c r="L16" s="6">
        <f>MAX(P23:P26)</f>
        <v>6.095238095238098E-2</v>
      </c>
    </row>
    <row r="17" spans="1:18" x14ac:dyDescent="0.3">
      <c r="E17" s="36">
        <v>21</v>
      </c>
      <c r="G17" s="7"/>
      <c r="H17" s="7" t="s">
        <v>41</v>
      </c>
      <c r="I17" s="7" t="s">
        <v>42</v>
      </c>
      <c r="J17" s="20" t="s">
        <v>45</v>
      </c>
      <c r="K17" s="20"/>
      <c r="L17" s="7">
        <f xml:space="preserve"> INDEX(B23:B26,MATCH(L16,P23:P26, 0))</f>
        <v>21.5</v>
      </c>
    </row>
    <row r="18" spans="1:18" x14ac:dyDescent="0.3">
      <c r="E18" s="36">
        <v>22</v>
      </c>
      <c r="G18" s="7"/>
      <c r="H18" s="7" t="s">
        <v>34</v>
      </c>
      <c r="I18" s="7" t="s">
        <v>37</v>
      </c>
      <c r="J18" s="20" t="s">
        <v>49</v>
      </c>
      <c r="K18" s="20"/>
      <c r="L18" s="7">
        <v>0</v>
      </c>
    </row>
    <row r="19" spans="1:18" x14ac:dyDescent="0.3">
      <c r="E19" s="36">
        <v>23</v>
      </c>
      <c r="G19" s="7"/>
      <c r="H19" s="7" t="s">
        <v>38</v>
      </c>
      <c r="I19" s="7" t="s">
        <v>39</v>
      </c>
      <c r="J19" s="20" t="s">
        <v>50</v>
      </c>
      <c r="K19" s="20"/>
      <c r="L19" s="7">
        <v>1</v>
      </c>
    </row>
    <row r="20" spans="1:18" x14ac:dyDescent="0.3">
      <c r="E20" s="36">
        <v>23</v>
      </c>
      <c r="G20" s="7"/>
      <c r="H20" s="7" t="s">
        <v>43</v>
      </c>
      <c r="I20" s="7" t="s">
        <v>40</v>
      </c>
    </row>
    <row r="21" spans="1:18" x14ac:dyDescent="0.3">
      <c r="A21" s="21" t="s">
        <v>32</v>
      </c>
      <c r="B21" s="21"/>
    </row>
    <row r="22" spans="1:18" x14ac:dyDescent="0.3">
      <c r="A22" s="43" t="s">
        <v>13</v>
      </c>
      <c r="B22" s="43" t="s">
        <v>16</v>
      </c>
      <c r="C22" s="43" t="s">
        <v>18</v>
      </c>
      <c r="D22" s="43" t="s">
        <v>19</v>
      </c>
      <c r="E22" s="43" t="s">
        <v>20</v>
      </c>
      <c r="F22" s="43" t="s">
        <v>21</v>
      </c>
      <c r="G22" s="43" t="s">
        <v>22</v>
      </c>
      <c r="H22" s="43" t="s">
        <v>23</v>
      </c>
      <c r="I22" s="43" t="s">
        <v>24</v>
      </c>
      <c r="J22" s="43" t="s">
        <v>25</v>
      </c>
      <c r="K22" s="43" t="s">
        <v>26</v>
      </c>
      <c r="L22" s="43" t="s">
        <v>27</v>
      </c>
      <c r="M22" s="43" t="s">
        <v>28</v>
      </c>
      <c r="N22" s="43" t="s">
        <v>29</v>
      </c>
      <c r="O22" s="43" t="s">
        <v>30</v>
      </c>
      <c r="P22" s="43" t="s">
        <v>31</v>
      </c>
      <c r="Q22" s="44" t="s">
        <v>46</v>
      </c>
      <c r="R22" s="44" t="s">
        <v>47</v>
      </c>
    </row>
    <row r="23" spans="1:18" x14ac:dyDescent="0.3">
      <c r="A23" s="3">
        <v>1</v>
      </c>
      <c r="B23" s="3">
        <v>18.5</v>
      </c>
      <c r="C23" s="3">
        <f>COUNTIF($B$3:$B$12,"&lt;="&amp;B23)</f>
        <v>3</v>
      </c>
      <c r="D23" s="3">
        <f xml:space="preserve"> COUNTIFS($B$3:$B$12, "&lt;=" &amp; B23,$C$3:$C$12, 1)</f>
        <v>1</v>
      </c>
      <c r="E23" s="3">
        <f xml:space="preserve"> COUNTIFS($B$3:$B$12, "&lt;=" &amp; B23,$C$3:$C$12, 0)</f>
        <v>2</v>
      </c>
      <c r="F23" s="3">
        <f>D23 / C23</f>
        <v>0.33333333333333331</v>
      </c>
      <c r="G23" s="3">
        <f>E23 / C23</f>
        <v>0.66666666666666663</v>
      </c>
      <c r="H23" s="3">
        <f xml:space="preserve"> 1 - ( F23^2 +G23^2 )</f>
        <v>0.44444444444444442</v>
      </c>
      <c r="I23" s="3">
        <f xml:space="preserve"> $C$13 -C23</f>
        <v>7</v>
      </c>
      <c r="J23" s="3">
        <f xml:space="preserve"> $C$14 -D23</f>
        <v>3</v>
      </c>
      <c r="K23" s="3">
        <f xml:space="preserve"> $C$15 -E23</f>
        <v>4</v>
      </c>
      <c r="L23" s="3">
        <f>J23/I23</f>
        <v>0.42857142857142855</v>
      </c>
      <c r="M23" s="3">
        <f>K23/I23</f>
        <v>0.5714285714285714</v>
      </c>
      <c r="N23" s="3">
        <f xml:space="preserve"> 1 - ( L23^2 +M23^2 )</f>
        <v>0.48979591836734704</v>
      </c>
      <c r="O23" s="3">
        <f xml:space="preserve"> (C23 /$C$13) * H23 +(I23 / $C$13) * N23</f>
        <v>0.47619047619047628</v>
      </c>
      <c r="P23" s="3">
        <f xml:space="preserve"> $F$8 - O23</f>
        <v>3.8095238095237072E-3</v>
      </c>
      <c r="Q23" s="5">
        <f>IF(D23 &gt; E23, 1, 0)</f>
        <v>0</v>
      </c>
      <c r="R23" s="5">
        <f>IF(J23 &gt; K23, 1, 0)</f>
        <v>0</v>
      </c>
    </row>
    <row r="24" spans="1:18" x14ac:dyDescent="0.3">
      <c r="A24" s="3">
        <v>2</v>
      </c>
      <c r="B24" s="3">
        <v>20</v>
      </c>
      <c r="C24" s="3">
        <f t="shared" ref="C24:C26" si="3">COUNTIF($B$3:$B$12,"&lt;="&amp;B24)</f>
        <v>6</v>
      </c>
      <c r="D24" s="3">
        <f t="shared" ref="D24:D26" si="4" xml:space="preserve"> COUNTIFS($B$3:$B$12, "&lt;=" &amp; B24,$C$3:$C$12, 1)</f>
        <v>2</v>
      </c>
      <c r="E24" s="3">
        <f t="shared" ref="E24:E26" si="5" xml:space="preserve"> COUNTIFS($B$3:$B$12, "&lt;=" &amp; B24,$C$3:$C$12, 0)</f>
        <v>4</v>
      </c>
      <c r="F24" s="3">
        <f t="shared" ref="F24:F26" si="6">D24 / C24</f>
        <v>0.33333333333333331</v>
      </c>
      <c r="G24" s="3">
        <f t="shared" ref="G24:G26" si="7">E24 / C24</f>
        <v>0.66666666666666663</v>
      </c>
      <c r="H24" s="3">
        <f t="shared" ref="H24:H26" si="8" xml:space="preserve"> 1 - ( F24^2 +G24^2 )</f>
        <v>0.44444444444444442</v>
      </c>
      <c r="I24" s="3">
        <f t="shared" ref="I24:I26" si="9" xml:space="preserve"> $C$13 -C24</f>
        <v>4</v>
      </c>
      <c r="J24" s="3">
        <f t="shared" ref="J24:J26" si="10" xml:space="preserve"> $C$14 -D24</f>
        <v>2</v>
      </c>
      <c r="K24" s="3">
        <f t="shared" ref="K24:K26" si="11" xml:space="preserve"> $C$15 -E24</f>
        <v>2</v>
      </c>
      <c r="L24" s="3">
        <f t="shared" ref="L24:L26" si="12">J24/I24</f>
        <v>0.5</v>
      </c>
      <c r="M24" s="3">
        <f t="shared" ref="M24:M26" si="13">K24/I24</f>
        <v>0.5</v>
      </c>
      <c r="N24" s="3">
        <f t="shared" ref="N24:N26" si="14" xml:space="preserve"> 1 - ( L24^2 +M24^2 )</f>
        <v>0.5</v>
      </c>
      <c r="O24" s="3">
        <f t="shared" ref="O24:O26" si="15" xml:space="preserve"> (C24 /$C$13) * H24 +(I24 / $C$13) * N24</f>
        <v>0.46666666666666667</v>
      </c>
      <c r="P24" s="3">
        <f xml:space="preserve"> $F$8 - O24</f>
        <v>1.3333333333333308E-2</v>
      </c>
      <c r="Q24" s="5">
        <f t="shared" ref="Q24:Q26" si="16">IF(D24 &gt; E24, 1, 0)</f>
        <v>0</v>
      </c>
      <c r="R24" s="5">
        <f t="shared" ref="R24:R26" si="17">IF(J24 &gt; K24, 1, 0)</f>
        <v>0</v>
      </c>
    </row>
    <row r="25" spans="1:18" x14ac:dyDescent="0.3">
      <c r="A25" s="3">
        <v>3</v>
      </c>
      <c r="B25" s="3">
        <v>21.5</v>
      </c>
      <c r="C25" s="3">
        <f>COUNTIF($B$3:$B$12,"&lt;="&amp;B25)</f>
        <v>7</v>
      </c>
      <c r="D25" s="3">
        <f t="shared" si="4"/>
        <v>2</v>
      </c>
      <c r="E25" s="3">
        <f t="shared" si="5"/>
        <v>5</v>
      </c>
      <c r="F25" s="3">
        <f t="shared" si="6"/>
        <v>0.2857142857142857</v>
      </c>
      <c r="G25" s="3">
        <f t="shared" si="7"/>
        <v>0.7142857142857143</v>
      </c>
      <c r="H25" s="3">
        <f t="shared" si="8"/>
        <v>0.40816326530612246</v>
      </c>
      <c r="I25" s="3">
        <f t="shared" si="9"/>
        <v>3</v>
      </c>
      <c r="J25" s="3">
        <f t="shared" si="10"/>
        <v>2</v>
      </c>
      <c r="K25" s="3">
        <f t="shared" si="11"/>
        <v>1</v>
      </c>
      <c r="L25" s="3">
        <f t="shared" si="12"/>
        <v>0.66666666666666663</v>
      </c>
      <c r="M25" s="3">
        <f t="shared" si="13"/>
        <v>0.33333333333333331</v>
      </c>
      <c r="N25" s="3">
        <f t="shared" si="14"/>
        <v>0.44444444444444442</v>
      </c>
      <c r="O25" s="3">
        <f t="shared" si="15"/>
        <v>0.419047619047619</v>
      </c>
      <c r="P25" s="3">
        <f xml:space="preserve"> $F$8 - O25</f>
        <v>6.095238095238098E-2</v>
      </c>
      <c r="Q25" s="5">
        <f t="shared" si="16"/>
        <v>0</v>
      </c>
      <c r="R25" s="5">
        <f t="shared" si="17"/>
        <v>1</v>
      </c>
    </row>
    <row r="26" spans="1:18" x14ac:dyDescent="0.3">
      <c r="A26" s="3">
        <v>4</v>
      </c>
      <c r="B26" s="3">
        <v>22.5</v>
      </c>
      <c r="C26" s="3">
        <f t="shared" si="3"/>
        <v>8</v>
      </c>
      <c r="D26" s="3">
        <f t="shared" si="4"/>
        <v>3</v>
      </c>
      <c r="E26" s="3">
        <f t="shared" si="5"/>
        <v>5</v>
      </c>
      <c r="F26" s="3">
        <f t="shared" si="6"/>
        <v>0.375</v>
      </c>
      <c r="G26" s="3">
        <f t="shared" si="7"/>
        <v>0.625</v>
      </c>
      <c r="H26" s="3">
        <f t="shared" si="8"/>
        <v>0.46875</v>
      </c>
      <c r="I26" s="3">
        <f t="shared" si="9"/>
        <v>2</v>
      </c>
      <c r="J26" s="3">
        <f t="shared" si="10"/>
        <v>1</v>
      </c>
      <c r="K26" s="3">
        <f t="shared" si="11"/>
        <v>1</v>
      </c>
      <c r="L26" s="3">
        <f t="shared" si="12"/>
        <v>0.5</v>
      </c>
      <c r="M26" s="3">
        <f t="shared" si="13"/>
        <v>0.5</v>
      </c>
      <c r="N26" s="3">
        <f t="shared" si="14"/>
        <v>0.5</v>
      </c>
      <c r="O26" s="3">
        <f t="shared" si="15"/>
        <v>0.47499999999999998</v>
      </c>
      <c r="P26" s="3">
        <f xml:space="preserve"> $F$8 - O26</f>
        <v>5.0000000000000044E-3</v>
      </c>
      <c r="Q26" s="5">
        <f t="shared" si="16"/>
        <v>0</v>
      </c>
      <c r="R26" s="5">
        <f t="shared" si="17"/>
        <v>0</v>
      </c>
    </row>
  </sheetData>
  <mergeCells count="12">
    <mergeCell ref="A21:B21"/>
    <mergeCell ref="A1:C1"/>
    <mergeCell ref="E1:G1"/>
    <mergeCell ref="E5:F5"/>
    <mergeCell ref="G9:H9"/>
    <mergeCell ref="A13:B13"/>
    <mergeCell ref="A14:B14"/>
    <mergeCell ref="A15:B15"/>
    <mergeCell ref="J16:K16"/>
    <mergeCell ref="J17:K17"/>
    <mergeCell ref="J18:K18"/>
    <mergeCell ref="J19:K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20A5E-2F33-4CB2-BBB6-24AC50F9A116}">
  <dimension ref="A1:V50"/>
  <sheetViews>
    <sheetView zoomScale="67" zoomScaleNormal="70" workbookViewId="0">
      <selection activeCell="H34" sqref="H34"/>
    </sheetView>
  </sheetViews>
  <sheetFormatPr defaultRowHeight="14.4" x14ac:dyDescent="0.3"/>
  <cols>
    <col min="1" max="1" width="6.6640625" customWidth="1"/>
    <col min="2" max="2" width="11.77734375" customWidth="1"/>
    <col min="3" max="3" width="8.33203125" customWidth="1"/>
    <col min="4" max="4" width="11.77734375" bestFit="1" customWidth="1"/>
    <col min="5" max="5" width="13.44140625" bestFit="1" customWidth="1"/>
    <col min="6" max="8" width="11.88671875" bestFit="1" customWidth="1"/>
    <col min="9" max="9" width="11.6640625" bestFit="1" customWidth="1"/>
    <col min="10" max="10" width="11.88671875" customWidth="1"/>
    <col min="11" max="11" width="10.88671875" customWidth="1"/>
    <col min="12" max="16" width="11.88671875" bestFit="1" customWidth="1"/>
    <col min="20" max="20" width="11.6640625" customWidth="1"/>
    <col min="21" max="21" width="12.21875" customWidth="1"/>
  </cols>
  <sheetData>
    <row r="1" spans="1:22" ht="36.6" customHeight="1" x14ac:dyDescent="0.3">
      <c r="A1" s="21" t="s">
        <v>4</v>
      </c>
      <c r="B1" s="21"/>
      <c r="C1" s="21"/>
      <c r="H1" s="21" t="s">
        <v>3</v>
      </c>
      <c r="I1" s="21"/>
      <c r="J1" s="21"/>
      <c r="L1" t="s">
        <v>56</v>
      </c>
      <c r="N1" s="49" t="s">
        <v>61</v>
      </c>
      <c r="O1" s="49" t="s">
        <v>4</v>
      </c>
      <c r="P1" s="49"/>
      <c r="Q1" s="49"/>
      <c r="R1" s="49"/>
      <c r="S1" s="49" t="s">
        <v>3</v>
      </c>
      <c r="T1" s="49"/>
      <c r="U1" s="49"/>
      <c r="V1" s="49"/>
    </row>
    <row r="2" spans="1:22" ht="28.8" x14ac:dyDescent="0.3">
      <c r="A2" s="8" t="s">
        <v>0</v>
      </c>
      <c r="B2" s="8" t="s">
        <v>1</v>
      </c>
      <c r="C2" s="8" t="s">
        <v>2</v>
      </c>
      <c r="D2" s="8" t="s">
        <v>57</v>
      </c>
      <c r="E2" s="8" t="s">
        <v>58</v>
      </c>
      <c r="F2" s="8" t="s">
        <v>59</v>
      </c>
      <c r="G2" s="8" t="s">
        <v>60</v>
      </c>
      <c r="H2" s="53" t="s">
        <v>0</v>
      </c>
      <c r="I2" s="25" t="s">
        <v>1</v>
      </c>
      <c r="J2" s="25" t="s">
        <v>2</v>
      </c>
      <c r="L2" s="59" t="s">
        <v>1</v>
      </c>
      <c r="N2" s="60" t="s">
        <v>0</v>
      </c>
      <c r="O2" s="60" t="s">
        <v>1</v>
      </c>
      <c r="P2" s="60" t="s">
        <v>2</v>
      </c>
      <c r="Q2" s="60" t="s">
        <v>70</v>
      </c>
      <c r="R2" s="60" t="s">
        <v>51</v>
      </c>
      <c r="S2" s="60" t="s">
        <v>0</v>
      </c>
      <c r="T2" s="60" t="s">
        <v>1</v>
      </c>
      <c r="U2" s="60" t="s">
        <v>2</v>
      </c>
      <c r="V2" s="60" t="s">
        <v>70</v>
      </c>
    </row>
    <row r="3" spans="1:22" x14ac:dyDescent="0.3">
      <c r="A3" s="9">
        <v>0</v>
      </c>
      <c r="B3" s="9">
        <v>18</v>
      </c>
      <c r="C3" s="9">
        <v>1</v>
      </c>
      <c r="D3" s="9">
        <v>1</v>
      </c>
      <c r="E3" s="10">
        <v>2</v>
      </c>
      <c r="F3" s="10">
        <v>19</v>
      </c>
      <c r="G3" s="10">
        <v>1</v>
      </c>
      <c r="H3" s="54">
        <v>10</v>
      </c>
      <c r="I3" s="26">
        <v>20</v>
      </c>
      <c r="J3" s="26">
        <v>0</v>
      </c>
      <c r="L3" s="27" cm="1">
        <f t="array" ref="L3:L12" xml:space="preserve"> _xlfn._xlws.SORT(F3:F12)</f>
        <v>18</v>
      </c>
      <c r="N3" s="61">
        <v>0</v>
      </c>
      <c r="O3" s="61">
        <v>18</v>
      </c>
      <c r="P3" s="61">
        <v>1</v>
      </c>
      <c r="Q3" s="62">
        <f t="shared" ref="Q3:Q12" si="0" xml:space="preserve">  IF( O3 &lt;= $N$17,$N$18,$N$19 )</f>
        <v>0</v>
      </c>
      <c r="R3" s="62">
        <f xml:space="preserve"> IF( Q3 = P3, 1, 0 )</f>
        <v>0</v>
      </c>
      <c r="S3" s="63">
        <v>10</v>
      </c>
      <c r="T3" s="63">
        <v>20</v>
      </c>
      <c r="U3" s="63">
        <v>0</v>
      </c>
      <c r="V3" s="62">
        <f xml:space="preserve">  IF( T3 &lt;= $N$17,$N$18,$N$19 )</f>
        <v>1</v>
      </c>
    </row>
    <row r="4" spans="1:22" x14ac:dyDescent="0.3">
      <c r="A4" s="9">
        <v>1</v>
      </c>
      <c r="B4" s="9">
        <v>21</v>
      </c>
      <c r="C4" s="9">
        <v>0</v>
      </c>
      <c r="D4" s="9">
        <v>2</v>
      </c>
      <c r="E4" s="10">
        <v>5</v>
      </c>
      <c r="F4" s="10">
        <v>19</v>
      </c>
      <c r="G4" s="10">
        <v>0</v>
      </c>
      <c r="L4" s="27">
        <v>18</v>
      </c>
      <c r="N4" s="61">
        <v>1</v>
      </c>
      <c r="O4" s="61">
        <v>21</v>
      </c>
      <c r="P4" s="61">
        <v>0</v>
      </c>
      <c r="Q4" s="62">
        <f t="shared" si="0"/>
        <v>1</v>
      </c>
      <c r="R4" s="62">
        <f t="shared" ref="R4:R12" si="1" xml:space="preserve"> IF( Q4 = P4, 1, 0 )</f>
        <v>0</v>
      </c>
      <c r="S4" s="49"/>
      <c r="T4" s="49"/>
      <c r="U4" s="49"/>
      <c r="V4" s="49"/>
    </row>
    <row r="5" spans="1:22" x14ac:dyDescent="0.3">
      <c r="A5" s="9">
        <v>2</v>
      </c>
      <c r="B5" s="9">
        <v>19</v>
      </c>
      <c r="C5" s="9">
        <v>1</v>
      </c>
      <c r="D5" s="9">
        <v>3</v>
      </c>
      <c r="E5" s="10">
        <v>6</v>
      </c>
      <c r="F5" s="10">
        <v>23</v>
      </c>
      <c r="G5" s="10">
        <v>1</v>
      </c>
      <c r="H5" s="21" t="s">
        <v>11</v>
      </c>
      <c r="I5" s="21"/>
      <c r="L5" s="27">
        <v>18</v>
      </c>
      <c r="N5" s="61">
        <v>2</v>
      </c>
      <c r="O5" s="61">
        <v>19</v>
      </c>
      <c r="P5" s="61">
        <v>1</v>
      </c>
      <c r="Q5" s="62">
        <f t="shared" si="0"/>
        <v>1</v>
      </c>
      <c r="R5" s="62">
        <f t="shared" si="1"/>
        <v>1</v>
      </c>
      <c r="S5" s="49"/>
      <c r="T5" s="49"/>
      <c r="U5" s="49"/>
      <c r="V5" s="49"/>
    </row>
    <row r="6" spans="1:22" x14ac:dyDescent="0.3">
      <c r="A6" s="9">
        <v>3</v>
      </c>
      <c r="B6" s="9">
        <v>22</v>
      </c>
      <c r="C6" s="9">
        <v>1</v>
      </c>
      <c r="D6" s="9">
        <v>4</v>
      </c>
      <c r="E6" s="10">
        <v>0</v>
      </c>
      <c r="F6" s="10">
        <v>18</v>
      </c>
      <c r="G6" s="10">
        <v>1</v>
      </c>
      <c r="H6" s="55" t="s">
        <v>8</v>
      </c>
      <c r="I6" s="27">
        <f>C14/C13</f>
        <v>0.6</v>
      </c>
      <c r="L6" s="27">
        <v>18</v>
      </c>
      <c r="N6" s="61">
        <v>3</v>
      </c>
      <c r="O6" s="61">
        <v>22</v>
      </c>
      <c r="P6" s="61">
        <v>1</v>
      </c>
      <c r="Q6" s="62">
        <f t="shared" si="0"/>
        <v>1</v>
      </c>
      <c r="R6" s="62">
        <f t="shared" si="1"/>
        <v>1</v>
      </c>
      <c r="S6" s="49"/>
      <c r="T6" s="49"/>
      <c r="U6" s="49"/>
      <c r="V6" s="49"/>
    </row>
    <row r="7" spans="1:22" x14ac:dyDescent="0.3">
      <c r="A7" s="9">
        <v>4</v>
      </c>
      <c r="B7" s="9">
        <v>23</v>
      </c>
      <c r="C7" s="9">
        <v>0</v>
      </c>
      <c r="D7" s="9">
        <v>5</v>
      </c>
      <c r="E7" s="10">
        <v>7</v>
      </c>
      <c r="F7" s="10">
        <v>18</v>
      </c>
      <c r="G7" s="10">
        <v>0</v>
      </c>
      <c r="H7" s="55" t="s">
        <v>9</v>
      </c>
      <c r="I7" s="27">
        <f>C15/C13</f>
        <v>0.4</v>
      </c>
      <c r="L7" s="27">
        <v>19</v>
      </c>
      <c r="N7" s="61">
        <v>4</v>
      </c>
      <c r="O7" s="61">
        <v>23</v>
      </c>
      <c r="P7" s="61">
        <v>0</v>
      </c>
      <c r="Q7" s="62">
        <f t="shared" si="0"/>
        <v>1</v>
      </c>
      <c r="R7" s="62">
        <f t="shared" si="1"/>
        <v>0</v>
      </c>
      <c r="S7" s="49"/>
      <c r="T7" s="49"/>
      <c r="U7" s="49"/>
      <c r="V7" s="49"/>
    </row>
    <row r="8" spans="1:22" x14ac:dyDescent="0.3">
      <c r="A8" s="9">
        <v>5</v>
      </c>
      <c r="B8" s="9">
        <v>19</v>
      </c>
      <c r="C8" s="9">
        <v>0</v>
      </c>
      <c r="D8" s="9">
        <v>6</v>
      </c>
      <c r="E8" s="10">
        <v>4</v>
      </c>
      <c r="F8" s="10">
        <v>23</v>
      </c>
      <c r="G8" s="10">
        <v>0</v>
      </c>
      <c r="H8" s="55" t="s">
        <v>10</v>
      </c>
      <c r="I8" s="27">
        <f>1 - (I6^2 +I7^2 )</f>
        <v>0.48</v>
      </c>
      <c r="L8" s="27">
        <v>19</v>
      </c>
      <c r="N8" s="61">
        <v>5</v>
      </c>
      <c r="O8" s="61">
        <v>19</v>
      </c>
      <c r="P8" s="61">
        <v>0</v>
      </c>
      <c r="Q8" s="62">
        <f t="shared" si="0"/>
        <v>1</v>
      </c>
      <c r="R8" s="62">
        <f t="shared" si="1"/>
        <v>0</v>
      </c>
      <c r="S8" s="49"/>
      <c r="T8" s="49"/>
      <c r="U8" s="49"/>
      <c r="V8" s="49"/>
    </row>
    <row r="9" spans="1:22" x14ac:dyDescent="0.3">
      <c r="A9" s="9">
        <v>6</v>
      </c>
      <c r="B9" s="9">
        <v>23</v>
      </c>
      <c r="C9" s="9">
        <v>1</v>
      </c>
      <c r="D9" s="9">
        <v>7</v>
      </c>
      <c r="E9" s="10">
        <v>9</v>
      </c>
      <c r="F9" s="10">
        <v>18</v>
      </c>
      <c r="G9" s="10">
        <v>0</v>
      </c>
      <c r="I9" s="21" t="s">
        <v>17</v>
      </c>
      <c r="J9" s="21"/>
      <c r="L9" s="27">
        <v>19</v>
      </c>
      <c r="N9" s="61">
        <v>6</v>
      </c>
      <c r="O9" s="61">
        <v>23</v>
      </c>
      <c r="P9" s="61">
        <v>1</v>
      </c>
      <c r="Q9" s="62">
        <f t="shared" si="0"/>
        <v>1</v>
      </c>
      <c r="R9" s="62">
        <f t="shared" si="1"/>
        <v>1</v>
      </c>
      <c r="S9" s="49"/>
      <c r="T9" s="49"/>
      <c r="U9" s="49"/>
      <c r="V9" s="49"/>
    </row>
    <row r="10" spans="1:22" ht="18" customHeight="1" x14ac:dyDescent="0.3">
      <c r="A10" s="9">
        <v>7</v>
      </c>
      <c r="B10" s="9">
        <v>18</v>
      </c>
      <c r="C10" s="9">
        <v>0</v>
      </c>
      <c r="D10" s="9">
        <v>8</v>
      </c>
      <c r="E10" s="10">
        <v>2</v>
      </c>
      <c r="F10" s="10">
        <v>19</v>
      </c>
      <c r="G10" s="10">
        <v>1</v>
      </c>
      <c r="H10" s="53" t="s">
        <v>13</v>
      </c>
      <c r="I10" s="25" t="s">
        <v>14</v>
      </c>
      <c r="J10" s="25" t="s">
        <v>15</v>
      </c>
      <c r="K10" s="25" t="s">
        <v>16</v>
      </c>
      <c r="L10" s="27">
        <v>19</v>
      </c>
      <c r="N10" s="61">
        <v>7</v>
      </c>
      <c r="O10" s="61">
        <v>18</v>
      </c>
      <c r="P10" s="61">
        <v>0</v>
      </c>
      <c r="Q10" s="62">
        <f t="shared" si="0"/>
        <v>0</v>
      </c>
      <c r="R10" s="62">
        <f t="shared" si="1"/>
        <v>1</v>
      </c>
      <c r="S10" s="49"/>
      <c r="T10" s="49"/>
      <c r="U10" s="49"/>
      <c r="V10" s="49"/>
    </row>
    <row r="11" spans="1:22" x14ac:dyDescent="0.3">
      <c r="A11" s="9">
        <v>8</v>
      </c>
      <c r="B11" s="9">
        <v>19</v>
      </c>
      <c r="C11" s="9">
        <v>0</v>
      </c>
      <c r="D11" s="9">
        <v>9</v>
      </c>
      <c r="E11" s="10">
        <v>2</v>
      </c>
      <c r="F11" s="10">
        <v>19</v>
      </c>
      <c r="G11" s="10">
        <v>1</v>
      </c>
      <c r="H11" s="56">
        <v>1</v>
      </c>
      <c r="I11" s="31">
        <v>18</v>
      </c>
      <c r="J11" s="31">
        <v>19</v>
      </c>
      <c r="K11" s="31">
        <f>(I11 + J11)/2</f>
        <v>18.5</v>
      </c>
      <c r="L11" s="27">
        <v>23</v>
      </c>
      <c r="N11" s="61">
        <v>8</v>
      </c>
      <c r="O11" s="61">
        <v>19</v>
      </c>
      <c r="P11" s="61">
        <v>0</v>
      </c>
      <c r="Q11" s="62">
        <f t="shared" si="0"/>
        <v>1</v>
      </c>
      <c r="R11" s="62">
        <f t="shared" si="1"/>
        <v>0</v>
      </c>
      <c r="S11" s="49"/>
      <c r="T11" s="49"/>
      <c r="U11" s="49"/>
      <c r="V11" s="49"/>
    </row>
    <row r="12" spans="1:22" x14ac:dyDescent="0.3">
      <c r="A12" s="9">
        <v>9</v>
      </c>
      <c r="B12" s="9">
        <v>18</v>
      </c>
      <c r="C12" s="9">
        <v>0</v>
      </c>
      <c r="D12" s="9">
        <v>10</v>
      </c>
      <c r="E12" s="10">
        <v>0</v>
      </c>
      <c r="F12" s="10">
        <v>18</v>
      </c>
      <c r="G12" s="10">
        <v>1</v>
      </c>
      <c r="H12" s="57">
        <v>2</v>
      </c>
      <c r="I12" s="58">
        <v>19</v>
      </c>
      <c r="J12" s="58">
        <v>23</v>
      </c>
      <c r="K12" s="58">
        <f t="shared" ref="K12" si="2">(I12 + J12)/2</f>
        <v>21</v>
      </c>
      <c r="L12" s="27">
        <v>23</v>
      </c>
      <c r="N12" s="61">
        <v>9</v>
      </c>
      <c r="O12" s="61">
        <v>18</v>
      </c>
      <c r="P12" s="61">
        <v>0</v>
      </c>
      <c r="Q12" s="62">
        <f t="shared" si="0"/>
        <v>0</v>
      </c>
      <c r="R12" s="62">
        <f t="shared" si="1"/>
        <v>1</v>
      </c>
      <c r="S12" s="49"/>
      <c r="T12" s="49"/>
      <c r="U12" s="49"/>
      <c r="V12" s="49"/>
    </row>
    <row r="13" spans="1:22" x14ac:dyDescent="0.3">
      <c r="A13" s="22" t="s">
        <v>5</v>
      </c>
      <c r="B13" s="22"/>
      <c r="C13">
        <f>COUNT(G3:G12)</f>
        <v>10</v>
      </c>
      <c r="H13" s="11"/>
      <c r="I13" s="11"/>
      <c r="J13" s="11"/>
      <c r="K13" s="11"/>
      <c r="N13" t="s">
        <v>52</v>
      </c>
      <c r="O13">
        <f xml:space="preserve"> SUM(R3:R12)</f>
        <v>5</v>
      </c>
    </row>
    <row r="14" spans="1:22" x14ac:dyDescent="0.3">
      <c r="A14" s="19" t="s">
        <v>6</v>
      </c>
      <c r="B14" s="19"/>
      <c r="C14">
        <f>COUNTIF(G3:G12,1)</f>
        <v>6</v>
      </c>
      <c r="H14" s="2"/>
      <c r="I14" s="2"/>
      <c r="J14" s="2"/>
      <c r="K14" s="2"/>
      <c r="N14" t="s">
        <v>53</v>
      </c>
      <c r="O14">
        <f>O13/10</f>
        <v>0.5</v>
      </c>
    </row>
    <row r="15" spans="1:22" x14ac:dyDescent="0.3">
      <c r="A15" s="19" t="s">
        <v>7</v>
      </c>
      <c r="B15" s="19"/>
      <c r="C15">
        <f>COUNTIF(G3:G12,0)</f>
        <v>4</v>
      </c>
    </row>
    <row r="16" spans="1:22" x14ac:dyDescent="0.3">
      <c r="H16" s="7" t="s">
        <v>33</v>
      </c>
      <c r="I16" s="7" t="s">
        <v>35</v>
      </c>
      <c r="J16" s="7" t="s">
        <v>36</v>
      </c>
      <c r="L16" s="20" t="s">
        <v>44</v>
      </c>
      <c r="M16" s="20"/>
      <c r="N16" s="6">
        <f>MAX(P23:P26)</f>
        <v>1.3333333333333308E-2</v>
      </c>
    </row>
    <row r="17" spans="1:18" x14ac:dyDescent="0.3">
      <c r="H17" s="7"/>
      <c r="I17" s="7" t="s">
        <v>41</v>
      </c>
      <c r="J17" s="7" t="s">
        <v>42</v>
      </c>
      <c r="L17" s="20" t="s">
        <v>45</v>
      </c>
      <c r="M17" s="20"/>
      <c r="N17" s="7">
        <f xml:space="preserve"> INDEX(B23:B26,MATCH(N16,P23:P26, 0))</f>
        <v>18.5</v>
      </c>
    </row>
    <row r="18" spans="1:18" x14ac:dyDescent="0.3">
      <c r="H18" s="7"/>
      <c r="I18" s="7" t="s">
        <v>34</v>
      </c>
      <c r="J18" s="7" t="s">
        <v>37</v>
      </c>
      <c r="L18" s="20" t="s">
        <v>49</v>
      </c>
      <c r="M18" s="20"/>
      <c r="N18" s="7">
        <v>0</v>
      </c>
    </row>
    <row r="19" spans="1:18" x14ac:dyDescent="0.3">
      <c r="H19" s="7"/>
      <c r="I19" s="7" t="s">
        <v>38</v>
      </c>
      <c r="J19" s="7" t="s">
        <v>39</v>
      </c>
      <c r="L19" s="20" t="s">
        <v>50</v>
      </c>
      <c r="M19" s="20"/>
      <c r="N19" s="7">
        <v>1</v>
      </c>
    </row>
    <row r="20" spans="1:18" x14ac:dyDescent="0.3">
      <c r="H20" s="7"/>
      <c r="I20" s="7" t="s">
        <v>43</v>
      </c>
      <c r="J20" s="7" t="s">
        <v>40</v>
      </c>
    </row>
    <row r="21" spans="1:18" x14ac:dyDescent="0.3">
      <c r="A21" s="21" t="s">
        <v>32</v>
      </c>
      <c r="B21" s="21"/>
    </row>
    <row r="22" spans="1:18" x14ac:dyDescent="0.3">
      <c r="A22" s="43" t="s">
        <v>13</v>
      </c>
      <c r="B22" s="43" t="s">
        <v>16</v>
      </c>
      <c r="C22" s="43" t="s">
        <v>18</v>
      </c>
      <c r="D22" s="43" t="s">
        <v>19</v>
      </c>
      <c r="E22" s="43" t="s">
        <v>20</v>
      </c>
      <c r="F22" s="43" t="s">
        <v>21</v>
      </c>
      <c r="G22" s="43" t="s">
        <v>22</v>
      </c>
      <c r="H22" s="43" t="s">
        <v>23</v>
      </c>
      <c r="I22" s="43" t="s">
        <v>24</v>
      </c>
      <c r="J22" s="43" t="s">
        <v>25</v>
      </c>
      <c r="K22" s="43" t="s">
        <v>26</v>
      </c>
      <c r="L22" s="43" t="s">
        <v>27</v>
      </c>
      <c r="M22" s="43" t="s">
        <v>28</v>
      </c>
      <c r="N22" s="43" t="s">
        <v>29</v>
      </c>
      <c r="O22" s="43" t="s">
        <v>30</v>
      </c>
      <c r="P22" s="43" t="s">
        <v>31</v>
      </c>
      <c r="Q22" s="44" t="s">
        <v>46</v>
      </c>
      <c r="R22" s="44" t="s">
        <v>47</v>
      </c>
    </row>
    <row r="23" spans="1:18" x14ac:dyDescent="0.3">
      <c r="A23" s="3">
        <v>1</v>
      </c>
      <c r="B23" s="3">
        <v>18.5</v>
      </c>
      <c r="C23" s="3">
        <f>COUNTIF($F$3:$F$12,"&lt;="&amp;B23)</f>
        <v>4</v>
      </c>
      <c r="D23" s="3">
        <f xml:space="preserve"> COUNTIFS($F$3:$F$12, "&lt;=" &amp; B23,$G$3:$G$12, 1)</f>
        <v>2</v>
      </c>
      <c r="E23" s="3">
        <f xml:space="preserve"> COUNTIFS($F$3:$F$12, "&lt;=" &amp; B23,$G$3:$G$12, 0)</f>
        <v>2</v>
      </c>
      <c r="F23" s="3">
        <f>D23 / C23</f>
        <v>0.5</v>
      </c>
      <c r="G23" s="3">
        <f>E23 / C23</f>
        <v>0.5</v>
      </c>
      <c r="H23" s="3">
        <f xml:space="preserve"> 1 - ( F23^2 +G23^2 )</f>
        <v>0.5</v>
      </c>
      <c r="I23" s="3">
        <f xml:space="preserve"> $C$13 -C23</f>
        <v>6</v>
      </c>
      <c r="J23" s="3">
        <f xml:space="preserve"> $C$14 -D23</f>
        <v>4</v>
      </c>
      <c r="K23" s="3">
        <f xml:space="preserve"> $C$15 -E23</f>
        <v>2</v>
      </c>
      <c r="L23" s="3">
        <f>J23/I23</f>
        <v>0.66666666666666663</v>
      </c>
      <c r="M23" s="3">
        <f>K23/I23</f>
        <v>0.33333333333333331</v>
      </c>
      <c r="N23" s="3">
        <f xml:space="preserve"> 1 - ( L23^2 +M23^2 )</f>
        <v>0.44444444444444442</v>
      </c>
      <c r="O23" s="3">
        <f xml:space="preserve"> (C23 /$C$13) * H23 +(I23 / $C$13) * N23</f>
        <v>0.46666666666666667</v>
      </c>
      <c r="P23" s="3">
        <f xml:space="preserve"> $I$8 - O23</f>
        <v>1.3333333333333308E-2</v>
      </c>
      <c r="Q23" s="5">
        <f>IF(D23 &gt; E23, 1, 0)</f>
        <v>0</v>
      </c>
      <c r="R23" s="5">
        <f>IF(J23 &gt; K23, 1, 0)</f>
        <v>1</v>
      </c>
    </row>
    <row r="24" spans="1:18" x14ac:dyDescent="0.3">
      <c r="A24" s="17">
        <v>2</v>
      </c>
      <c r="B24" s="17">
        <v>21</v>
      </c>
      <c r="C24" s="3">
        <f>COUNTIF($F$3:$F$12,"&lt;="&amp;B24)</f>
        <v>8</v>
      </c>
      <c r="D24" s="3">
        <f xml:space="preserve"> COUNTIFS($F$3:$F$12, "&lt;=" &amp; B24,$G$3:$G$12, 1)</f>
        <v>5</v>
      </c>
      <c r="E24" s="3">
        <f xml:space="preserve"> COUNTIFS($F$3:$F$12, "&lt;=" &amp; B24,$G$3:$G$12, 0)</f>
        <v>3</v>
      </c>
      <c r="F24" s="17">
        <f t="shared" ref="F24" si="3">D24 / C24</f>
        <v>0.625</v>
      </c>
      <c r="G24" s="17">
        <f t="shared" ref="G24" si="4">E24 / C24</f>
        <v>0.375</v>
      </c>
      <c r="H24" s="17">
        <f t="shared" ref="H24" si="5" xml:space="preserve"> 1 - ( F24^2 +G24^2 )</f>
        <v>0.46875</v>
      </c>
      <c r="I24" s="17">
        <f t="shared" ref="I24" si="6" xml:space="preserve"> $C$13 -C24</f>
        <v>2</v>
      </c>
      <c r="J24" s="17">
        <f t="shared" ref="J24" si="7" xml:space="preserve"> $C$14 -D24</f>
        <v>1</v>
      </c>
      <c r="K24" s="17">
        <f t="shared" ref="K24" si="8" xml:space="preserve"> $C$15 -E24</f>
        <v>1</v>
      </c>
      <c r="L24" s="17">
        <f t="shared" ref="L24" si="9">J24/I24</f>
        <v>0.5</v>
      </c>
      <c r="M24" s="17">
        <f t="shared" ref="M24" si="10">K24/I24</f>
        <v>0.5</v>
      </c>
      <c r="N24" s="17">
        <f t="shared" ref="N24" si="11" xml:space="preserve"> 1 - ( L24^2 +M24^2 )</f>
        <v>0.5</v>
      </c>
      <c r="O24" s="17">
        <f t="shared" ref="O24" si="12" xml:space="preserve"> (C24 /$C$13) * H24 +(I24 / $C$13) * N24</f>
        <v>0.47499999999999998</v>
      </c>
      <c r="P24" s="17">
        <f xml:space="preserve"> $I$8 - O24</f>
        <v>5.0000000000000044E-3</v>
      </c>
      <c r="Q24" s="18">
        <f t="shared" ref="Q24" si="13">IF(D24 &gt; E24, 1, 0)</f>
        <v>1</v>
      </c>
      <c r="R24" s="18">
        <f t="shared" ref="R24" si="14">IF(J24 &gt; K24, 1, 0)</f>
        <v>0</v>
      </c>
    </row>
    <row r="25" spans="1:18" x14ac:dyDescent="0.3">
      <c r="A25" s="64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5"/>
      <c r="R25" s="65"/>
    </row>
    <row r="26" spans="1:18" x14ac:dyDescent="0.3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49"/>
      <c r="R26" s="49"/>
    </row>
    <row r="37" spans="7:10" x14ac:dyDescent="0.3">
      <c r="J37" t="s">
        <v>55</v>
      </c>
    </row>
    <row r="40" spans="7:10" x14ac:dyDescent="0.3">
      <c r="G40" s="15"/>
    </row>
    <row r="41" spans="7:10" x14ac:dyDescent="0.3">
      <c r="G41" s="15"/>
    </row>
    <row r="42" spans="7:10" x14ac:dyDescent="0.3">
      <c r="G42" s="15"/>
    </row>
    <row r="43" spans="7:10" x14ac:dyDescent="0.3">
      <c r="G43" s="15"/>
    </row>
    <row r="44" spans="7:10" x14ac:dyDescent="0.3">
      <c r="G44" s="15"/>
    </row>
    <row r="45" spans="7:10" x14ac:dyDescent="0.3">
      <c r="G45" s="15"/>
    </row>
    <row r="46" spans="7:10" x14ac:dyDescent="0.3">
      <c r="G46" s="15"/>
    </row>
    <row r="47" spans="7:10" x14ac:dyDescent="0.3">
      <c r="G47" s="15"/>
    </row>
    <row r="48" spans="7:10" x14ac:dyDescent="0.3">
      <c r="G48" s="15"/>
    </row>
    <row r="49" spans="7:7" x14ac:dyDescent="0.3">
      <c r="G49" s="15"/>
    </row>
    <row r="50" spans="7:7" x14ac:dyDescent="0.3">
      <c r="G50" s="15"/>
    </row>
  </sheetData>
  <mergeCells count="12">
    <mergeCell ref="A21:B21"/>
    <mergeCell ref="A1:C1"/>
    <mergeCell ref="I9:J9"/>
    <mergeCell ref="L18:M18"/>
    <mergeCell ref="L19:M19"/>
    <mergeCell ref="H5:I5"/>
    <mergeCell ref="H1:J1"/>
    <mergeCell ref="L16:M16"/>
    <mergeCell ref="L17:M17"/>
    <mergeCell ref="A13:B13"/>
    <mergeCell ref="A14:B14"/>
    <mergeCell ref="A15:B15"/>
  </mergeCells>
  <pageMargins left="0.7" right="0.7" top="0.75" bottom="0.75" header="0.3" footer="0.3"/>
  <ignoredErrors>
    <ignoredError sqref="F13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04B87-BF7A-49EF-99F7-16DB3FEED38F}">
  <dimension ref="A1:V50"/>
  <sheetViews>
    <sheetView zoomScale="57" zoomScaleNormal="70" workbookViewId="0">
      <selection activeCell="R16" sqref="R16"/>
    </sheetView>
  </sheetViews>
  <sheetFormatPr defaultRowHeight="14.4" x14ac:dyDescent="0.3"/>
  <cols>
    <col min="1" max="1" width="6.6640625" customWidth="1"/>
    <col min="2" max="2" width="11.77734375" customWidth="1"/>
    <col min="3" max="3" width="8.33203125" customWidth="1"/>
    <col min="4" max="4" width="11.77734375" bestFit="1" customWidth="1"/>
    <col min="5" max="5" width="13.44140625" bestFit="1" customWidth="1"/>
    <col min="6" max="8" width="11.88671875" bestFit="1" customWidth="1"/>
    <col min="9" max="9" width="11.6640625" bestFit="1" customWidth="1"/>
    <col min="10" max="10" width="11.88671875" customWidth="1"/>
    <col min="11" max="11" width="10.88671875" customWidth="1"/>
    <col min="12" max="13" width="11.88671875" bestFit="1" customWidth="1"/>
    <col min="14" max="14" width="13.5546875" bestFit="1" customWidth="1"/>
    <col min="15" max="16" width="11.88671875" bestFit="1" customWidth="1"/>
    <col min="20" max="20" width="11.6640625" customWidth="1"/>
    <col min="21" max="21" width="12.21875" customWidth="1"/>
  </cols>
  <sheetData>
    <row r="1" spans="1:22" ht="36.6" customHeight="1" x14ac:dyDescent="0.3">
      <c r="A1" s="21" t="s">
        <v>4</v>
      </c>
      <c r="B1" s="21"/>
      <c r="C1" s="21"/>
      <c r="H1" s="21" t="s">
        <v>3</v>
      </c>
      <c r="I1" s="21"/>
      <c r="J1" s="21"/>
      <c r="L1" t="s">
        <v>56</v>
      </c>
      <c r="N1" s="15" t="s">
        <v>64</v>
      </c>
      <c r="O1" s="15"/>
      <c r="P1" s="15"/>
      <c r="Q1" s="15"/>
      <c r="R1" s="15"/>
      <c r="S1" s="15"/>
      <c r="T1" s="15"/>
      <c r="U1" s="15"/>
      <c r="V1" s="15"/>
    </row>
    <row r="2" spans="1:22" ht="28.8" x14ac:dyDescent="0.3">
      <c r="A2" s="8" t="s">
        <v>0</v>
      </c>
      <c r="B2" s="8" t="s">
        <v>1</v>
      </c>
      <c r="C2" s="8" t="s">
        <v>2</v>
      </c>
      <c r="D2" s="8" t="s">
        <v>57</v>
      </c>
      <c r="E2" s="8" t="s">
        <v>58</v>
      </c>
      <c r="F2" s="8" t="s">
        <v>62</v>
      </c>
      <c r="G2" s="8" t="s">
        <v>63</v>
      </c>
      <c r="H2" s="67" t="s">
        <v>0</v>
      </c>
      <c r="I2" s="68" t="s">
        <v>1</v>
      </c>
      <c r="J2" s="68" t="s">
        <v>2</v>
      </c>
      <c r="L2" s="74" t="s">
        <v>1</v>
      </c>
      <c r="N2" s="50" t="s">
        <v>0</v>
      </c>
      <c r="O2" s="50" t="s">
        <v>1</v>
      </c>
      <c r="P2" s="50" t="s">
        <v>2</v>
      </c>
      <c r="Q2" s="50" t="s">
        <v>65</v>
      </c>
      <c r="R2" s="50" t="s">
        <v>51</v>
      </c>
      <c r="S2" s="50" t="s">
        <v>0</v>
      </c>
      <c r="T2" s="50" t="s">
        <v>1</v>
      </c>
      <c r="U2" s="50" t="s">
        <v>2</v>
      </c>
      <c r="V2" s="50" t="s">
        <v>65</v>
      </c>
    </row>
    <row r="3" spans="1:22" x14ac:dyDescent="0.3">
      <c r="A3" s="9">
        <v>0</v>
      </c>
      <c r="B3" s="9">
        <v>18</v>
      </c>
      <c r="C3" s="9">
        <v>1</v>
      </c>
      <c r="D3" s="9">
        <v>1</v>
      </c>
      <c r="E3" s="10">
        <v>6</v>
      </c>
      <c r="F3" s="10">
        <v>23</v>
      </c>
      <c r="G3" s="10">
        <v>1</v>
      </c>
      <c r="H3" s="69">
        <v>10</v>
      </c>
      <c r="I3" s="70">
        <v>20</v>
      </c>
      <c r="J3" s="70">
        <v>0</v>
      </c>
      <c r="L3" s="72" cm="1">
        <f t="array" ref="L3:L12" xml:space="preserve"> _xlfn._xlws.SORT(F3:F12)</f>
        <v>18</v>
      </c>
      <c r="N3" s="52">
        <v>6</v>
      </c>
      <c r="O3" s="75">
        <v>18</v>
      </c>
      <c r="P3" s="75">
        <v>1</v>
      </c>
      <c r="Q3" s="75">
        <f xml:space="preserve">  IF( O3 &lt;= $N$17,$N$18,$N$19 )</f>
        <v>0</v>
      </c>
      <c r="R3" s="52">
        <f xml:space="preserve"> IF( Q3 = P3, 1, 0 )</f>
        <v>0</v>
      </c>
      <c r="S3" s="51">
        <v>10</v>
      </c>
      <c r="T3" s="51">
        <v>20</v>
      </c>
      <c r="U3" s="51">
        <v>0</v>
      </c>
      <c r="V3" s="52">
        <f xml:space="preserve">  IF( T3 &lt;= $N$17,$N$18,$N$19 )</f>
        <v>0</v>
      </c>
    </row>
    <row r="4" spans="1:22" x14ac:dyDescent="0.3">
      <c r="A4" s="9">
        <v>1</v>
      </c>
      <c r="B4" s="9">
        <v>21</v>
      </c>
      <c r="C4" s="9">
        <v>0</v>
      </c>
      <c r="D4" s="9">
        <v>2</v>
      </c>
      <c r="E4" s="10">
        <v>9</v>
      </c>
      <c r="F4" s="10">
        <v>18</v>
      </c>
      <c r="G4" s="10">
        <v>0</v>
      </c>
      <c r="L4" s="72">
        <v>18</v>
      </c>
      <c r="N4" s="52">
        <v>9</v>
      </c>
      <c r="O4" s="75">
        <v>21</v>
      </c>
      <c r="P4" s="75">
        <v>0</v>
      </c>
      <c r="Q4" s="75">
        <f t="shared" ref="Q4:Q12" si="0" xml:space="preserve">  IF( O4 &lt;= $N$17,$N$18,$N$19 )</f>
        <v>0</v>
      </c>
      <c r="R4" s="52">
        <f t="shared" ref="R4:R12" si="1" xml:space="preserve"> IF( Q4 = P4, 1, 0 )</f>
        <v>1</v>
      </c>
      <c r="S4" s="49"/>
      <c r="T4" s="49"/>
      <c r="U4" s="49"/>
      <c r="V4" s="49"/>
    </row>
    <row r="5" spans="1:22" x14ac:dyDescent="0.3">
      <c r="A5" s="9">
        <v>2</v>
      </c>
      <c r="B5" s="9">
        <v>19</v>
      </c>
      <c r="C5" s="9">
        <v>1</v>
      </c>
      <c r="D5" s="9">
        <v>3</v>
      </c>
      <c r="E5" s="10">
        <v>2</v>
      </c>
      <c r="F5" s="10">
        <v>19</v>
      </c>
      <c r="G5" s="10">
        <v>1</v>
      </c>
      <c r="H5" s="21" t="s">
        <v>11</v>
      </c>
      <c r="I5" s="21"/>
      <c r="L5" s="72">
        <v>18</v>
      </c>
      <c r="N5" s="52">
        <v>2</v>
      </c>
      <c r="O5" s="75">
        <v>19</v>
      </c>
      <c r="P5" s="75">
        <v>1</v>
      </c>
      <c r="Q5" s="75">
        <f t="shared" si="0"/>
        <v>0</v>
      </c>
      <c r="R5" s="52">
        <f xml:space="preserve"> IF( Q5 = P5, 1, 0 )</f>
        <v>0</v>
      </c>
      <c r="S5" s="49"/>
      <c r="T5" s="49"/>
      <c r="U5" s="49"/>
      <c r="V5" s="49"/>
    </row>
    <row r="6" spans="1:22" x14ac:dyDescent="0.3">
      <c r="A6" s="9">
        <v>3</v>
      </c>
      <c r="B6" s="9">
        <v>22</v>
      </c>
      <c r="C6" s="9">
        <v>1</v>
      </c>
      <c r="D6" s="9">
        <v>4</v>
      </c>
      <c r="E6" s="10">
        <v>1</v>
      </c>
      <c r="F6" s="10">
        <v>21</v>
      </c>
      <c r="G6" s="10">
        <v>0</v>
      </c>
      <c r="H6" s="71" t="s">
        <v>8</v>
      </c>
      <c r="I6" s="72">
        <f>C14/C13</f>
        <v>0.5</v>
      </c>
      <c r="L6" s="72">
        <v>19</v>
      </c>
      <c r="N6" s="52">
        <v>1</v>
      </c>
      <c r="O6" s="75">
        <v>22</v>
      </c>
      <c r="P6" s="75">
        <v>1</v>
      </c>
      <c r="Q6" s="75">
        <f t="shared" si="0"/>
        <v>0</v>
      </c>
      <c r="R6" s="52">
        <f t="shared" si="1"/>
        <v>0</v>
      </c>
      <c r="S6" s="49"/>
      <c r="T6" s="49"/>
      <c r="U6" s="49"/>
      <c r="V6" s="49"/>
    </row>
    <row r="7" spans="1:22" x14ac:dyDescent="0.3">
      <c r="A7" s="9">
        <v>4</v>
      </c>
      <c r="B7" s="9">
        <v>23</v>
      </c>
      <c r="C7" s="9">
        <v>0</v>
      </c>
      <c r="D7" s="9">
        <v>5</v>
      </c>
      <c r="E7" s="10">
        <v>2</v>
      </c>
      <c r="F7" s="10">
        <v>19</v>
      </c>
      <c r="G7" s="10">
        <v>1</v>
      </c>
      <c r="H7" s="71" t="s">
        <v>9</v>
      </c>
      <c r="I7" s="72">
        <f>C15/C13</f>
        <v>0.5</v>
      </c>
      <c r="L7" s="72">
        <v>19</v>
      </c>
      <c r="N7" s="52">
        <v>2</v>
      </c>
      <c r="O7" s="75">
        <v>23</v>
      </c>
      <c r="P7" s="75">
        <v>0</v>
      </c>
      <c r="Q7" s="75">
        <f t="shared" si="0"/>
        <v>1</v>
      </c>
      <c r="R7" s="52">
        <f t="shared" si="1"/>
        <v>0</v>
      </c>
      <c r="S7" s="49"/>
      <c r="T7" s="49"/>
      <c r="U7" s="49"/>
      <c r="V7" s="49"/>
    </row>
    <row r="8" spans="1:22" x14ac:dyDescent="0.3">
      <c r="A8" s="9">
        <v>5</v>
      </c>
      <c r="B8" s="9">
        <v>19</v>
      </c>
      <c r="C8" s="9">
        <v>0</v>
      </c>
      <c r="D8" s="9">
        <v>6</v>
      </c>
      <c r="E8" s="10">
        <v>0</v>
      </c>
      <c r="F8" s="10">
        <v>18</v>
      </c>
      <c r="G8" s="10">
        <v>1</v>
      </c>
      <c r="H8" s="71" t="s">
        <v>10</v>
      </c>
      <c r="I8" s="72">
        <f>1 - (I6^2 +I7^2 )</f>
        <v>0.5</v>
      </c>
      <c r="L8" s="72">
        <v>19</v>
      </c>
      <c r="N8" s="52">
        <v>0</v>
      </c>
      <c r="O8" s="75">
        <v>19</v>
      </c>
      <c r="P8" s="75">
        <v>0</v>
      </c>
      <c r="Q8" s="75">
        <f t="shared" si="0"/>
        <v>0</v>
      </c>
      <c r="R8" s="52">
        <f t="shared" si="1"/>
        <v>1</v>
      </c>
      <c r="S8" s="49"/>
      <c r="T8" s="49"/>
      <c r="U8" s="49"/>
      <c r="V8" s="49"/>
    </row>
    <row r="9" spans="1:22" x14ac:dyDescent="0.3">
      <c r="A9" s="9">
        <v>6</v>
      </c>
      <c r="B9" s="9">
        <v>23</v>
      </c>
      <c r="C9" s="9">
        <v>1</v>
      </c>
      <c r="D9" s="9">
        <v>7</v>
      </c>
      <c r="E9" s="10">
        <v>2</v>
      </c>
      <c r="F9" s="10">
        <v>19</v>
      </c>
      <c r="G9" s="10">
        <v>1</v>
      </c>
      <c r="I9" s="21" t="s">
        <v>17</v>
      </c>
      <c r="J9" s="21"/>
      <c r="L9" s="72">
        <v>19</v>
      </c>
      <c r="N9" s="52">
        <v>2</v>
      </c>
      <c r="O9" s="75">
        <v>23</v>
      </c>
      <c r="P9" s="75">
        <v>1</v>
      </c>
      <c r="Q9" s="75">
        <f t="shared" si="0"/>
        <v>1</v>
      </c>
      <c r="R9" s="52">
        <f t="shared" si="1"/>
        <v>1</v>
      </c>
      <c r="S9" s="49"/>
      <c r="T9" s="49"/>
      <c r="U9" s="49"/>
      <c r="V9" s="49"/>
    </row>
    <row r="10" spans="1:22" ht="18" customHeight="1" x14ac:dyDescent="0.3">
      <c r="A10" s="9">
        <v>7</v>
      </c>
      <c r="B10" s="9">
        <v>18</v>
      </c>
      <c r="C10" s="9">
        <v>0</v>
      </c>
      <c r="D10" s="9">
        <v>8</v>
      </c>
      <c r="E10" s="10">
        <v>5</v>
      </c>
      <c r="F10" s="10">
        <v>19</v>
      </c>
      <c r="G10" s="16">
        <v>0</v>
      </c>
      <c r="H10" s="68" t="s">
        <v>13</v>
      </c>
      <c r="I10" s="68" t="s">
        <v>14</v>
      </c>
      <c r="J10" s="68" t="s">
        <v>15</v>
      </c>
      <c r="K10" s="68" t="s">
        <v>16</v>
      </c>
      <c r="L10" s="72">
        <v>19</v>
      </c>
      <c r="N10" s="52">
        <v>5</v>
      </c>
      <c r="O10" s="75">
        <v>18</v>
      </c>
      <c r="P10" s="75">
        <v>0</v>
      </c>
      <c r="Q10" s="75">
        <f t="shared" si="0"/>
        <v>0</v>
      </c>
      <c r="R10" s="52">
        <f t="shared" si="1"/>
        <v>1</v>
      </c>
      <c r="S10" s="49"/>
      <c r="T10" s="49"/>
      <c r="U10" s="49"/>
      <c r="V10" s="49"/>
    </row>
    <row r="11" spans="1:22" x14ac:dyDescent="0.3">
      <c r="A11" s="9">
        <v>8</v>
      </c>
      <c r="B11" s="9">
        <v>19</v>
      </c>
      <c r="C11" s="9">
        <v>0</v>
      </c>
      <c r="D11" s="9">
        <v>9</v>
      </c>
      <c r="E11" s="10">
        <v>8</v>
      </c>
      <c r="F11" s="10">
        <v>19</v>
      </c>
      <c r="G11" s="16">
        <v>0</v>
      </c>
      <c r="H11" s="73">
        <v>1</v>
      </c>
      <c r="I11" s="73">
        <v>18</v>
      </c>
      <c r="J11" s="73">
        <v>19</v>
      </c>
      <c r="K11" s="73">
        <f>(I11 + J11)/2</f>
        <v>18.5</v>
      </c>
      <c r="L11" s="72">
        <v>21</v>
      </c>
      <c r="N11" s="52">
        <v>8</v>
      </c>
      <c r="O11" s="75">
        <v>19</v>
      </c>
      <c r="P11" s="75">
        <v>0</v>
      </c>
      <c r="Q11" s="75">
        <f t="shared" si="0"/>
        <v>0</v>
      </c>
      <c r="R11" s="52">
        <f t="shared" si="1"/>
        <v>1</v>
      </c>
      <c r="S11" s="49"/>
      <c r="T11" s="49"/>
      <c r="U11" s="49"/>
      <c r="V11" s="49"/>
    </row>
    <row r="12" spans="1:22" x14ac:dyDescent="0.3">
      <c r="A12" s="9">
        <v>9</v>
      </c>
      <c r="B12" s="9">
        <v>18</v>
      </c>
      <c r="C12" s="9">
        <v>0</v>
      </c>
      <c r="D12" s="9">
        <v>10</v>
      </c>
      <c r="E12" s="10">
        <v>7</v>
      </c>
      <c r="F12" s="10">
        <v>18</v>
      </c>
      <c r="G12" s="16">
        <v>0</v>
      </c>
      <c r="H12" s="73">
        <v>2</v>
      </c>
      <c r="I12" s="73">
        <v>19</v>
      </c>
      <c r="J12" s="73">
        <v>21</v>
      </c>
      <c r="K12" s="73">
        <f t="shared" ref="K12" si="2">(I12 + J12)/2</f>
        <v>20</v>
      </c>
      <c r="L12" s="72">
        <v>23</v>
      </c>
      <c r="N12" s="52">
        <v>7</v>
      </c>
      <c r="O12" s="75">
        <v>18</v>
      </c>
      <c r="P12" s="75">
        <v>0</v>
      </c>
      <c r="Q12" s="75">
        <f t="shared" si="0"/>
        <v>0</v>
      </c>
      <c r="R12" s="52">
        <f t="shared" si="1"/>
        <v>1</v>
      </c>
      <c r="S12" s="49"/>
      <c r="T12" s="49"/>
      <c r="U12" s="49"/>
      <c r="V12" s="49"/>
    </row>
    <row r="13" spans="1:22" x14ac:dyDescent="0.3">
      <c r="A13" s="22" t="s">
        <v>5</v>
      </c>
      <c r="B13" s="22"/>
      <c r="C13">
        <f>COUNT(G3:G12)</f>
        <v>10</v>
      </c>
      <c r="H13" s="73">
        <v>2</v>
      </c>
      <c r="I13" s="73">
        <v>21</v>
      </c>
      <c r="J13" s="73">
        <v>23</v>
      </c>
      <c r="K13" s="73">
        <f t="shared" ref="K13" si="3">(I13 + J13)/2</f>
        <v>22</v>
      </c>
      <c r="N13" t="s">
        <v>52</v>
      </c>
      <c r="O13">
        <f xml:space="preserve"> SUM(R3:R12)</f>
        <v>6</v>
      </c>
    </row>
    <row r="14" spans="1:22" x14ac:dyDescent="0.3">
      <c r="A14" s="19" t="s">
        <v>6</v>
      </c>
      <c r="B14" s="19"/>
      <c r="C14">
        <f>COUNTIF(G3:G12,1)</f>
        <v>5</v>
      </c>
      <c r="H14" s="2"/>
      <c r="I14" s="2"/>
      <c r="J14" s="2"/>
      <c r="K14" s="2"/>
      <c r="N14" t="s">
        <v>53</v>
      </c>
      <c r="O14">
        <f>O13/10</f>
        <v>0.6</v>
      </c>
    </row>
    <row r="15" spans="1:22" x14ac:dyDescent="0.3">
      <c r="A15" s="19" t="s">
        <v>7</v>
      </c>
      <c r="B15" s="19"/>
      <c r="C15">
        <f>COUNTIF(G3:G12,0)</f>
        <v>5</v>
      </c>
    </row>
    <row r="16" spans="1:22" x14ac:dyDescent="0.3">
      <c r="H16" s="76" t="s">
        <v>33</v>
      </c>
      <c r="I16" s="76" t="s">
        <v>35</v>
      </c>
      <c r="J16" s="76" t="s">
        <v>36</v>
      </c>
      <c r="L16" s="20" t="s">
        <v>44</v>
      </c>
      <c r="M16" s="20"/>
      <c r="N16" s="6">
        <f>MAX(P23:P26)</f>
        <v>5.555555555555558E-2</v>
      </c>
    </row>
    <row r="17" spans="1:18" x14ac:dyDescent="0.3">
      <c r="H17" s="76"/>
      <c r="I17" s="76" t="s">
        <v>41</v>
      </c>
      <c r="J17" s="76" t="s">
        <v>42</v>
      </c>
      <c r="L17" s="20" t="s">
        <v>45</v>
      </c>
      <c r="M17" s="20"/>
      <c r="N17" s="7">
        <f xml:space="preserve"> INDEX(B23:B26,MATCH(N16,P23:P26, 0))</f>
        <v>22</v>
      </c>
    </row>
    <row r="18" spans="1:18" x14ac:dyDescent="0.3">
      <c r="H18" s="76"/>
      <c r="I18" s="76" t="s">
        <v>34</v>
      </c>
      <c r="J18" s="76" t="s">
        <v>37</v>
      </c>
      <c r="L18" s="20" t="s">
        <v>49</v>
      </c>
      <c r="M18" s="20"/>
      <c r="N18" s="7">
        <v>0</v>
      </c>
    </row>
    <row r="19" spans="1:18" x14ac:dyDescent="0.3">
      <c r="H19" s="76"/>
      <c r="I19" s="76" t="s">
        <v>38</v>
      </c>
      <c r="J19" s="76" t="s">
        <v>39</v>
      </c>
      <c r="L19" s="20" t="s">
        <v>50</v>
      </c>
      <c r="M19" s="20"/>
      <c r="N19" s="7">
        <v>1</v>
      </c>
    </row>
    <row r="20" spans="1:18" x14ac:dyDescent="0.3">
      <c r="H20" s="76"/>
      <c r="I20" s="76" t="s">
        <v>43</v>
      </c>
      <c r="J20" s="76" t="s">
        <v>40</v>
      </c>
    </row>
    <row r="21" spans="1:18" x14ac:dyDescent="0.3">
      <c r="A21" s="21" t="s">
        <v>32</v>
      </c>
      <c r="B21" s="21"/>
    </row>
    <row r="22" spans="1:18" x14ac:dyDescent="0.3">
      <c r="A22" s="43" t="s">
        <v>13</v>
      </c>
      <c r="B22" s="43" t="s">
        <v>16</v>
      </c>
      <c r="C22" s="43" t="s">
        <v>18</v>
      </c>
      <c r="D22" s="43" t="s">
        <v>19</v>
      </c>
      <c r="E22" s="43" t="s">
        <v>20</v>
      </c>
      <c r="F22" s="43" t="s">
        <v>21</v>
      </c>
      <c r="G22" s="43" t="s">
        <v>22</v>
      </c>
      <c r="H22" s="43" t="s">
        <v>23</v>
      </c>
      <c r="I22" s="43" t="s">
        <v>24</v>
      </c>
      <c r="J22" s="43" t="s">
        <v>25</v>
      </c>
      <c r="K22" s="43" t="s">
        <v>26</v>
      </c>
      <c r="L22" s="43" t="s">
        <v>27</v>
      </c>
      <c r="M22" s="43" t="s">
        <v>28</v>
      </c>
      <c r="N22" s="43" t="s">
        <v>29</v>
      </c>
      <c r="O22" s="43" t="s">
        <v>30</v>
      </c>
      <c r="P22" s="43" t="s">
        <v>31</v>
      </c>
      <c r="Q22" s="44" t="s">
        <v>46</v>
      </c>
      <c r="R22" s="44" t="s">
        <v>47</v>
      </c>
    </row>
    <row r="23" spans="1:18" x14ac:dyDescent="0.3">
      <c r="A23" s="3">
        <v>1</v>
      </c>
      <c r="B23" s="3">
        <v>18.5</v>
      </c>
      <c r="C23" s="3">
        <f>COUNTIF($F$3:$F$12,"&lt;="&amp;B23)</f>
        <v>3</v>
      </c>
      <c r="D23" s="3">
        <f xml:space="preserve"> COUNTIFS($F$3:$F$12, "&lt;=" &amp; B23,$G$3:$G$12, 1)</f>
        <v>1</v>
      </c>
      <c r="E23" s="3">
        <f xml:space="preserve"> COUNTIFS($F$3:$F$12, "&lt;=" &amp; B23,$G$3:$G$12, 0)</f>
        <v>2</v>
      </c>
      <c r="F23" s="3">
        <f>D23 / C23</f>
        <v>0.33333333333333331</v>
      </c>
      <c r="G23" s="3">
        <f>E23 / C23</f>
        <v>0.66666666666666663</v>
      </c>
      <c r="H23" s="3">
        <f xml:space="preserve"> 1 - ( F23^2 +G23^2 )</f>
        <v>0.44444444444444442</v>
      </c>
      <c r="I23" s="3">
        <f xml:space="preserve"> $C$13 -C23</f>
        <v>7</v>
      </c>
      <c r="J23" s="3">
        <f xml:space="preserve"> $C$14 -D23</f>
        <v>4</v>
      </c>
      <c r="K23" s="3">
        <f xml:space="preserve"> $C$15 -E23</f>
        <v>3</v>
      </c>
      <c r="L23" s="3">
        <f>J23/I23</f>
        <v>0.5714285714285714</v>
      </c>
      <c r="M23" s="3">
        <f>K23/I23</f>
        <v>0.42857142857142855</v>
      </c>
      <c r="N23" s="3">
        <f xml:space="preserve"> 1 - ( L23^2 +M23^2 )</f>
        <v>0.48979591836734704</v>
      </c>
      <c r="O23" s="3">
        <f xml:space="preserve"> (C23 /$C$13) * H23 +(I23 / $C$13) * N23</f>
        <v>0.47619047619047628</v>
      </c>
      <c r="P23" s="3">
        <f xml:space="preserve"> $I$8 - O23</f>
        <v>2.3809523809523725E-2</v>
      </c>
      <c r="Q23" s="5">
        <f>IF(D23 &gt; E23, 1, 0)</f>
        <v>0</v>
      </c>
      <c r="R23" s="5">
        <f>IF(J23 &gt; K23, 1, 0)</f>
        <v>1</v>
      </c>
    </row>
    <row r="24" spans="1:18" x14ac:dyDescent="0.3">
      <c r="A24" s="17">
        <v>2</v>
      </c>
      <c r="B24" s="17">
        <v>20</v>
      </c>
      <c r="C24" s="3">
        <f t="shared" ref="C24:C25" si="4">COUNTIF($F$3:$F$12,"&lt;="&amp;B24)</f>
        <v>8</v>
      </c>
      <c r="D24" s="3">
        <f t="shared" ref="D24:D25" si="5" xml:space="preserve"> COUNTIFS($F$3:$F$12, "&lt;=" &amp; B24,$G$3:$G$12, 1)</f>
        <v>4</v>
      </c>
      <c r="E24" s="3">
        <f t="shared" ref="E24:E25" si="6" xml:space="preserve"> COUNTIFS($F$3:$F$12, "&lt;=" &amp; B24,$G$3:$G$12, 0)</f>
        <v>4</v>
      </c>
      <c r="F24" s="3">
        <f t="shared" ref="F24:F25" si="7">D24 / C24</f>
        <v>0.5</v>
      </c>
      <c r="G24" s="3">
        <f t="shared" ref="G24:G25" si="8">E24 / C24</f>
        <v>0.5</v>
      </c>
      <c r="H24" s="3">
        <f t="shared" ref="H24:H25" si="9" xml:space="preserve"> 1 - ( F24^2 +G24^2 )</f>
        <v>0.5</v>
      </c>
      <c r="I24" s="3">
        <f t="shared" ref="I24:I25" si="10" xml:space="preserve"> $C$13 -C24</f>
        <v>2</v>
      </c>
      <c r="J24" s="3">
        <f t="shared" ref="J24:J25" si="11" xml:space="preserve"> $C$14 -D24</f>
        <v>1</v>
      </c>
      <c r="K24" s="3">
        <f t="shared" ref="K24:K25" si="12" xml:space="preserve"> $C$15 -E24</f>
        <v>1</v>
      </c>
      <c r="L24" s="3">
        <f t="shared" ref="L24:L25" si="13">J24/I24</f>
        <v>0.5</v>
      </c>
      <c r="M24" s="3">
        <f t="shared" ref="M24:M25" si="14">K24/I24</f>
        <v>0.5</v>
      </c>
      <c r="N24" s="3">
        <f t="shared" ref="N24:N25" si="15" xml:space="preserve"> 1 - ( L24^2 +M24^2 )</f>
        <v>0.5</v>
      </c>
      <c r="O24" s="3">
        <f t="shared" ref="O24:O25" si="16" xml:space="preserve"> (C24 /$C$13) * H24 +(I24 / $C$13) * N24</f>
        <v>0.5</v>
      </c>
      <c r="P24" s="3">
        <f t="shared" ref="P24:P25" si="17" xml:space="preserve"> $I$8 - O24</f>
        <v>0</v>
      </c>
      <c r="Q24" s="5">
        <f>IF(D24 &gt; E24, 1, 0)</f>
        <v>0</v>
      </c>
      <c r="R24" s="5">
        <f t="shared" ref="R24:R25" si="18">IF(J24 &gt; K24, 1, 0)</f>
        <v>0</v>
      </c>
    </row>
    <row r="25" spans="1:18" x14ac:dyDescent="0.3">
      <c r="A25" s="17">
        <v>3</v>
      </c>
      <c r="B25" s="17">
        <v>22</v>
      </c>
      <c r="C25" s="3">
        <f t="shared" si="4"/>
        <v>9</v>
      </c>
      <c r="D25" s="3">
        <f t="shared" si="5"/>
        <v>4</v>
      </c>
      <c r="E25" s="3">
        <f t="shared" si="6"/>
        <v>5</v>
      </c>
      <c r="F25" s="3">
        <f t="shared" si="7"/>
        <v>0.44444444444444442</v>
      </c>
      <c r="G25" s="3">
        <f t="shared" si="8"/>
        <v>0.55555555555555558</v>
      </c>
      <c r="H25" s="3">
        <f t="shared" si="9"/>
        <v>0.49382716049382713</v>
      </c>
      <c r="I25" s="3">
        <f t="shared" si="10"/>
        <v>1</v>
      </c>
      <c r="J25" s="3">
        <f t="shared" si="11"/>
        <v>1</v>
      </c>
      <c r="K25" s="3">
        <f t="shared" si="12"/>
        <v>0</v>
      </c>
      <c r="L25" s="3">
        <f t="shared" si="13"/>
        <v>1</v>
      </c>
      <c r="M25" s="3">
        <f t="shared" si="14"/>
        <v>0</v>
      </c>
      <c r="N25" s="3">
        <f t="shared" si="15"/>
        <v>0</v>
      </c>
      <c r="O25" s="3">
        <f t="shared" si="16"/>
        <v>0.44444444444444442</v>
      </c>
      <c r="P25" s="3">
        <f t="shared" si="17"/>
        <v>5.555555555555558E-2</v>
      </c>
      <c r="Q25" s="5">
        <f t="shared" ref="Q25" si="19">IF(D25 &gt; E25, 1, 0)</f>
        <v>0</v>
      </c>
      <c r="R25" s="5">
        <f t="shared" si="18"/>
        <v>1</v>
      </c>
    </row>
    <row r="26" spans="1:18" x14ac:dyDescent="0.3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5"/>
      <c r="R26" s="15"/>
    </row>
    <row r="37" spans="7:10" x14ac:dyDescent="0.3">
      <c r="J37" t="s">
        <v>55</v>
      </c>
    </row>
    <row r="40" spans="7:10" x14ac:dyDescent="0.3">
      <c r="G40" s="15"/>
    </row>
    <row r="41" spans="7:10" x14ac:dyDescent="0.3">
      <c r="G41" s="15"/>
    </row>
    <row r="42" spans="7:10" x14ac:dyDescent="0.3">
      <c r="G42" s="15"/>
    </row>
    <row r="43" spans="7:10" x14ac:dyDescent="0.3">
      <c r="G43" s="15"/>
    </row>
    <row r="44" spans="7:10" x14ac:dyDescent="0.3">
      <c r="G44" s="15"/>
    </row>
    <row r="45" spans="7:10" x14ac:dyDescent="0.3">
      <c r="G45" s="15"/>
    </row>
    <row r="46" spans="7:10" x14ac:dyDescent="0.3">
      <c r="G46" s="15"/>
    </row>
    <row r="47" spans="7:10" x14ac:dyDescent="0.3">
      <c r="G47" s="15"/>
    </row>
    <row r="48" spans="7:10" x14ac:dyDescent="0.3">
      <c r="G48" s="15"/>
    </row>
    <row r="49" spans="7:7" x14ac:dyDescent="0.3">
      <c r="G49" s="15"/>
    </row>
    <row r="50" spans="7:7" x14ac:dyDescent="0.3">
      <c r="G50" s="15"/>
    </row>
  </sheetData>
  <mergeCells count="12">
    <mergeCell ref="A21:B21"/>
    <mergeCell ref="A1:C1"/>
    <mergeCell ref="H1:J1"/>
    <mergeCell ref="H5:I5"/>
    <mergeCell ref="I9:J9"/>
    <mergeCell ref="A13:B13"/>
    <mergeCell ref="A14:B14"/>
    <mergeCell ref="A15:B15"/>
    <mergeCell ref="L16:M16"/>
    <mergeCell ref="L17:M17"/>
    <mergeCell ref="L18:M18"/>
    <mergeCell ref="L19:M19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1B902-74A3-4FF1-A9DB-9652131D3B13}">
  <dimension ref="A1:W50"/>
  <sheetViews>
    <sheetView zoomScale="65" zoomScaleNormal="70" workbookViewId="0">
      <selection activeCell="R19" sqref="R19"/>
    </sheetView>
  </sheetViews>
  <sheetFormatPr defaultRowHeight="14.4" x14ac:dyDescent="0.3"/>
  <cols>
    <col min="1" max="1" width="6.6640625" customWidth="1"/>
    <col min="2" max="2" width="11.77734375" customWidth="1"/>
    <col min="3" max="3" width="8.33203125" customWidth="1"/>
    <col min="4" max="4" width="11.77734375" bestFit="1" customWidth="1"/>
    <col min="5" max="5" width="13.44140625" bestFit="1" customWidth="1"/>
    <col min="6" max="8" width="11.88671875" bestFit="1" customWidth="1"/>
    <col min="9" max="9" width="11.6640625" bestFit="1" customWidth="1"/>
    <col min="10" max="10" width="11.88671875" customWidth="1"/>
    <col min="11" max="11" width="10.88671875" customWidth="1"/>
    <col min="12" max="16" width="11.88671875" bestFit="1" customWidth="1"/>
    <col min="20" max="20" width="11.6640625" customWidth="1"/>
    <col min="21" max="21" width="12.21875" customWidth="1"/>
  </cols>
  <sheetData>
    <row r="1" spans="1:23" ht="36.6" customHeight="1" x14ac:dyDescent="0.3">
      <c r="A1" s="21" t="s">
        <v>4</v>
      </c>
      <c r="B1" s="21"/>
      <c r="C1" s="21"/>
      <c r="H1" s="21" t="s">
        <v>3</v>
      </c>
      <c r="I1" s="21"/>
      <c r="J1" s="21"/>
      <c r="L1" s="49" t="s">
        <v>56</v>
      </c>
      <c r="M1" s="49" t="s">
        <v>66</v>
      </c>
      <c r="N1" s="49" t="s">
        <v>4</v>
      </c>
      <c r="O1" s="49"/>
      <c r="P1" s="49"/>
      <c r="Q1" s="49"/>
      <c r="R1" s="49"/>
      <c r="S1" s="49" t="s">
        <v>3</v>
      </c>
      <c r="T1" s="49"/>
      <c r="U1" s="49"/>
      <c r="V1" s="49"/>
      <c r="W1" s="49"/>
    </row>
    <row r="2" spans="1:23" ht="28.8" x14ac:dyDescent="0.3">
      <c r="A2" s="8" t="s">
        <v>0</v>
      </c>
      <c r="B2" s="8" t="s">
        <v>1</v>
      </c>
      <c r="C2" s="8" t="s">
        <v>2</v>
      </c>
      <c r="D2" s="8" t="s">
        <v>57</v>
      </c>
      <c r="E2" s="8" t="s">
        <v>58</v>
      </c>
      <c r="F2" s="8" t="s">
        <v>62</v>
      </c>
      <c r="G2" s="8" t="s">
        <v>63</v>
      </c>
      <c r="H2" s="53" t="s">
        <v>0</v>
      </c>
      <c r="I2" s="25" t="s">
        <v>1</v>
      </c>
      <c r="J2" s="25" t="s">
        <v>2</v>
      </c>
      <c r="L2" s="59" t="s">
        <v>1</v>
      </c>
      <c r="M2" s="60" t="s">
        <v>0</v>
      </c>
      <c r="N2" s="60" t="s">
        <v>1</v>
      </c>
      <c r="O2" s="60" t="s">
        <v>2</v>
      </c>
      <c r="P2" s="60" t="s">
        <v>69</v>
      </c>
      <c r="Q2" s="60" t="s">
        <v>51</v>
      </c>
      <c r="R2" s="49"/>
      <c r="S2" s="60" t="s">
        <v>0</v>
      </c>
      <c r="T2" s="60" t="s">
        <v>1</v>
      </c>
      <c r="U2" s="60" t="s">
        <v>2</v>
      </c>
      <c r="V2" s="60" t="s">
        <v>69</v>
      </c>
    </row>
    <row r="3" spans="1:23" x14ac:dyDescent="0.3">
      <c r="A3" s="9">
        <v>0</v>
      </c>
      <c r="B3" s="9">
        <v>18</v>
      </c>
      <c r="C3" s="9">
        <v>1</v>
      </c>
      <c r="D3" s="9">
        <v>1</v>
      </c>
      <c r="E3" s="10">
        <v>5</v>
      </c>
      <c r="F3" s="10">
        <v>19</v>
      </c>
      <c r="G3" s="10">
        <v>0</v>
      </c>
      <c r="H3" s="54">
        <v>10</v>
      </c>
      <c r="I3" s="26">
        <v>20</v>
      </c>
      <c r="J3" s="26">
        <v>0</v>
      </c>
      <c r="L3" s="27" cm="1">
        <f t="array" ref="L3:L12" xml:space="preserve"> _xlfn._xlws.SORT(F3:F12)</f>
        <v>18</v>
      </c>
      <c r="M3" s="61">
        <v>0</v>
      </c>
      <c r="N3" s="61">
        <v>18</v>
      </c>
      <c r="O3" s="61">
        <v>1</v>
      </c>
      <c r="P3" s="62">
        <f t="shared" ref="P3:P12" si="0" xml:space="preserve">  IF( N3 &lt;= $N$17,$N$18,$N$19 )</f>
        <v>0</v>
      </c>
      <c r="Q3" s="62">
        <f xml:space="preserve"> IF( P3 = O3, 1, 0 )</f>
        <v>0</v>
      </c>
      <c r="R3" s="49"/>
      <c r="S3" s="63">
        <v>10</v>
      </c>
      <c r="T3" s="63">
        <v>20</v>
      </c>
      <c r="U3" s="63">
        <v>0</v>
      </c>
      <c r="V3" s="62">
        <f xml:space="preserve">  IF( T3 &lt;= $N$17,$N$18,$N$19 )</f>
        <v>0</v>
      </c>
    </row>
    <row r="4" spans="1:23" x14ac:dyDescent="0.3">
      <c r="A4" s="9">
        <v>1</v>
      </c>
      <c r="B4" s="9">
        <v>21</v>
      </c>
      <c r="C4" s="9">
        <v>0</v>
      </c>
      <c r="D4" s="9">
        <v>2</v>
      </c>
      <c r="E4" s="10">
        <v>6</v>
      </c>
      <c r="F4" s="10">
        <v>23</v>
      </c>
      <c r="G4" s="10">
        <v>1</v>
      </c>
      <c r="L4" s="27">
        <v>19</v>
      </c>
      <c r="M4" s="61">
        <v>1</v>
      </c>
      <c r="N4" s="61">
        <v>21</v>
      </c>
      <c r="O4" s="61">
        <v>0</v>
      </c>
      <c r="P4" s="62">
        <f t="shared" si="0"/>
        <v>0</v>
      </c>
      <c r="Q4" s="62">
        <f t="shared" ref="Q4:Q12" si="1" xml:space="preserve"> IF( P4 = O4, 1, 0 )</f>
        <v>1</v>
      </c>
      <c r="R4" s="49"/>
      <c r="S4" s="49"/>
      <c r="T4" s="49"/>
      <c r="U4" s="49"/>
      <c r="V4" s="49"/>
    </row>
    <row r="5" spans="1:23" x14ac:dyDescent="0.3">
      <c r="A5" s="9">
        <v>2</v>
      </c>
      <c r="B5" s="9">
        <v>19</v>
      </c>
      <c r="C5" s="9">
        <v>1</v>
      </c>
      <c r="D5" s="9">
        <v>3</v>
      </c>
      <c r="E5" s="10">
        <v>5</v>
      </c>
      <c r="F5" s="10">
        <v>19</v>
      </c>
      <c r="G5" s="10">
        <v>0</v>
      </c>
      <c r="H5" s="21" t="s">
        <v>11</v>
      </c>
      <c r="I5" s="21"/>
      <c r="L5" s="27">
        <v>19</v>
      </c>
      <c r="M5" s="61">
        <v>2</v>
      </c>
      <c r="N5" s="61">
        <v>19</v>
      </c>
      <c r="O5" s="61">
        <v>1</v>
      </c>
      <c r="P5" s="62">
        <f xml:space="preserve">  IF( N5 &lt;= $N$17,$N$18,$N$19 )</f>
        <v>0</v>
      </c>
      <c r="Q5" s="62">
        <f xml:space="preserve"> IF( P5 = O5, 1, 0 )</f>
        <v>0</v>
      </c>
      <c r="R5" s="49"/>
      <c r="S5" s="49"/>
      <c r="T5" s="49"/>
      <c r="U5" s="49"/>
      <c r="V5" s="49"/>
    </row>
    <row r="6" spans="1:23" x14ac:dyDescent="0.3">
      <c r="A6" s="9">
        <v>3</v>
      </c>
      <c r="B6" s="9">
        <v>22</v>
      </c>
      <c r="C6" s="9">
        <v>1</v>
      </c>
      <c r="D6" s="9">
        <v>4</v>
      </c>
      <c r="E6" s="10">
        <v>8</v>
      </c>
      <c r="F6" s="10">
        <v>19</v>
      </c>
      <c r="G6" s="10">
        <v>0</v>
      </c>
      <c r="H6" s="55" t="s">
        <v>8</v>
      </c>
      <c r="I6" s="27">
        <f>C14/C13</f>
        <v>0.3</v>
      </c>
      <c r="L6" s="27">
        <v>19</v>
      </c>
      <c r="M6" s="61">
        <v>3</v>
      </c>
      <c r="N6" s="61">
        <v>22</v>
      </c>
      <c r="O6" s="61">
        <v>1</v>
      </c>
      <c r="P6" s="62">
        <f t="shared" si="0"/>
        <v>1</v>
      </c>
      <c r="Q6" s="62">
        <f t="shared" si="1"/>
        <v>1</v>
      </c>
      <c r="R6" s="49"/>
      <c r="S6" s="49"/>
      <c r="T6" s="49"/>
      <c r="U6" s="49"/>
      <c r="V6" s="49"/>
    </row>
    <row r="7" spans="1:23" x14ac:dyDescent="0.3">
      <c r="A7" s="9">
        <v>4</v>
      </c>
      <c r="B7" s="9">
        <v>23</v>
      </c>
      <c r="C7" s="9">
        <v>0</v>
      </c>
      <c r="D7" s="9">
        <v>5</v>
      </c>
      <c r="E7" s="10">
        <v>3</v>
      </c>
      <c r="F7" s="10">
        <v>22</v>
      </c>
      <c r="G7" s="10">
        <v>1</v>
      </c>
      <c r="H7" s="55" t="s">
        <v>9</v>
      </c>
      <c r="I7" s="27">
        <f>C15/C13</f>
        <v>0.7</v>
      </c>
      <c r="L7" s="27">
        <v>19</v>
      </c>
      <c r="M7" s="61">
        <v>4</v>
      </c>
      <c r="N7" s="61">
        <v>23</v>
      </c>
      <c r="O7" s="61">
        <v>0</v>
      </c>
      <c r="P7" s="62">
        <f t="shared" si="0"/>
        <v>1</v>
      </c>
      <c r="Q7" s="62">
        <f t="shared" si="1"/>
        <v>0</v>
      </c>
      <c r="R7" s="49"/>
      <c r="S7" s="49"/>
      <c r="T7" s="49"/>
      <c r="U7" s="49"/>
      <c r="V7" s="49"/>
    </row>
    <row r="8" spans="1:23" x14ac:dyDescent="0.3">
      <c r="A8" s="9">
        <v>5</v>
      </c>
      <c r="B8" s="9">
        <v>19</v>
      </c>
      <c r="C8" s="9">
        <v>0</v>
      </c>
      <c r="D8" s="9">
        <v>6</v>
      </c>
      <c r="E8" s="10">
        <v>9</v>
      </c>
      <c r="F8" s="10">
        <v>18</v>
      </c>
      <c r="G8" s="10">
        <v>0</v>
      </c>
      <c r="H8" s="55" t="s">
        <v>10</v>
      </c>
      <c r="I8" s="27">
        <f>1 - (I6^2 +I7^2 )</f>
        <v>0.42000000000000004</v>
      </c>
      <c r="L8" s="27">
        <v>19</v>
      </c>
      <c r="M8" s="61">
        <v>5</v>
      </c>
      <c r="N8" s="61">
        <v>19</v>
      </c>
      <c r="O8" s="61">
        <v>0</v>
      </c>
      <c r="P8" s="62">
        <f t="shared" si="0"/>
        <v>0</v>
      </c>
      <c r="Q8" s="62">
        <f t="shared" si="1"/>
        <v>1</v>
      </c>
      <c r="R8" s="49"/>
      <c r="S8" s="49"/>
      <c r="T8" s="49"/>
      <c r="U8" s="49"/>
      <c r="V8" s="49"/>
    </row>
    <row r="9" spans="1:23" x14ac:dyDescent="0.3">
      <c r="A9" s="9">
        <v>6</v>
      </c>
      <c r="B9" s="9">
        <v>23</v>
      </c>
      <c r="C9" s="9">
        <v>1</v>
      </c>
      <c r="D9" s="9">
        <v>7</v>
      </c>
      <c r="E9" s="10">
        <v>5</v>
      </c>
      <c r="F9" s="10">
        <v>19</v>
      </c>
      <c r="G9" s="10">
        <v>0</v>
      </c>
      <c r="I9" s="21" t="s">
        <v>17</v>
      </c>
      <c r="J9" s="21"/>
      <c r="L9" s="27">
        <v>19</v>
      </c>
      <c r="M9" s="61">
        <v>6</v>
      </c>
      <c r="N9" s="61">
        <v>23</v>
      </c>
      <c r="O9" s="61">
        <v>1</v>
      </c>
      <c r="P9" s="62">
        <f t="shared" si="0"/>
        <v>1</v>
      </c>
      <c r="Q9" s="62">
        <f t="shared" si="1"/>
        <v>1</v>
      </c>
      <c r="R9" s="49"/>
      <c r="S9" s="49"/>
      <c r="T9" s="49"/>
      <c r="U9" s="49"/>
      <c r="V9" s="49"/>
    </row>
    <row r="10" spans="1:23" ht="18" customHeight="1" x14ac:dyDescent="0.3">
      <c r="A10" s="9">
        <v>7</v>
      </c>
      <c r="B10" s="9">
        <v>18</v>
      </c>
      <c r="C10" s="9">
        <v>0</v>
      </c>
      <c r="D10" s="9">
        <v>8</v>
      </c>
      <c r="E10" s="10">
        <v>8</v>
      </c>
      <c r="F10" s="10">
        <v>19</v>
      </c>
      <c r="G10" s="10">
        <v>0</v>
      </c>
      <c r="H10" s="25" t="s">
        <v>13</v>
      </c>
      <c r="I10" s="25" t="s">
        <v>14</v>
      </c>
      <c r="J10" s="25" t="s">
        <v>15</v>
      </c>
      <c r="K10" s="25" t="s">
        <v>16</v>
      </c>
      <c r="L10" s="27">
        <v>21</v>
      </c>
      <c r="M10" s="61">
        <v>7</v>
      </c>
      <c r="N10" s="61">
        <v>18</v>
      </c>
      <c r="O10" s="61">
        <v>0</v>
      </c>
      <c r="P10" s="62">
        <f t="shared" si="0"/>
        <v>0</v>
      </c>
      <c r="Q10" s="62">
        <f t="shared" si="1"/>
        <v>1</v>
      </c>
      <c r="R10" s="49"/>
      <c r="S10" s="49"/>
      <c r="T10" s="49"/>
      <c r="U10" s="49"/>
      <c r="V10" s="49"/>
    </row>
    <row r="11" spans="1:23" x14ac:dyDescent="0.3">
      <c r="A11" s="9">
        <v>8</v>
      </c>
      <c r="B11" s="9">
        <v>19</v>
      </c>
      <c r="C11" s="9">
        <v>0</v>
      </c>
      <c r="D11" s="9">
        <v>9</v>
      </c>
      <c r="E11" s="10">
        <v>1</v>
      </c>
      <c r="F11" s="10">
        <v>21</v>
      </c>
      <c r="G11" s="10">
        <v>0</v>
      </c>
      <c r="H11" s="31">
        <v>1</v>
      </c>
      <c r="I11" s="31">
        <v>18</v>
      </c>
      <c r="J11" s="31">
        <v>19</v>
      </c>
      <c r="K11" s="31">
        <f>(I11 + J11)/2</f>
        <v>18.5</v>
      </c>
      <c r="L11" s="27">
        <v>22</v>
      </c>
      <c r="M11" s="61">
        <v>8</v>
      </c>
      <c r="N11" s="61">
        <v>19</v>
      </c>
      <c r="O11" s="61">
        <v>0</v>
      </c>
      <c r="P11" s="62">
        <f t="shared" si="0"/>
        <v>0</v>
      </c>
      <c r="Q11" s="62">
        <f t="shared" si="1"/>
        <v>1</v>
      </c>
      <c r="R11" s="49"/>
      <c r="S11" s="49"/>
      <c r="T11" s="49"/>
      <c r="U11" s="49"/>
      <c r="V11" s="49"/>
    </row>
    <row r="12" spans="1:23" x14ac:dyDescent="0.3">
      <c r="A12" s="9">
        <v>9</v>
      </c>
      <c r="B12" s="9">
        <v>18</v>
      </c>
      <c r="C12" s="9">
        <v>0</v>
      </c>
      <c r="D12" s="9">
        <v>10</v>
      </c>
      <c r="E12" s="10">
        <v>2</v>
      </c>
      <c r="F12" s="10">
        <v>19</v>
      </c>
      <c r="G12" s="10">
        <v>1</v>
      </c>
      <c r="H12" s="31">
        <v>2</v>
      </c>
      <c r="I12" s="31">
        <v>19</v>
      </c>
      <c r="J12" s="31">
        <v>21</v>
      </c>
      <c r="K12" s="31">
        <f t="shared" ref="K12:K14" si="2">(I12 + J12)/2</f>
        <v>20</v>
      </c>
      <c r="L12" s="27">
        <v>23</v>
      </c>
      <c r="M12" s="61">
        <v>9</v>
      </c>
      <c r="N12" s="61">
        <v>18</v>
      </c>
      <c r="O12" s="61">
        <v>0</v>
      </c>
      <c r="P12" s="62">
        <f t="shared" si="0"/>
        <v>0</v>
      </c>
      <c r="Q12" s="62">
        <f t="shared" si="1"/>
        <v>1</v>
      </c>
      <c r="R12" s="49"/>
      <c r="S12" s="49"/>
      <c r="T12" s="49"/>
      <c r="U12" s="49"/>
      <c r="V12" s="49"/>
    </row>
    <row r="13" spans="1:23" x14ac:dyDescent="0.3">
      <c r="A13" s="22" t="s">
        <v>5</v>
      </c>
      <c r="B13" s="22"/>
      <c r="C13">
        <f>COUNT(G3:G12)</f>
        <v>10</v>
      </c>
      <c r="H13" s="31">
        <v>3</v>
      </c>
      <c r="I13" s="31">
        <v>21</v>
      </c>
      <c r="J13" s="31">
        <v>22</v>
      </c>
      <c r="K13" s="31">
        <f t="shared" si="2"/>
        <v>21.5</v>
      </c>
      <c r="M13" t="s">
        <v>52</v>
      </c>
      <c r="N13">
        <f xml:space="preserve"> SUM(Q3:Q12)</f>
        <v>7</v>
      </c>
    </row>
    <row r="14" spans="1:23" x14ac:dyDescent="0.3">
      <c r="A14" s="19" t="s">
        <v>6</v>
      </c>
      <c r="B14" s="19"/>
      <c r="C14">
        <f>COUNTIF(G3:G12,1)</f>
        <v>3</v>
      </c>
      <c r="H14" s="77">
        <v>4</v>
      </c>
      <c r="I14" s="78">
        <v>22</v>
      </c>
      <c r="J14" s="78">
        <v>23</v>
      </c>
      <c r="K14" s="31">
        <f t="shared" si="2"/>
        <v>22.5</v>
      </c>
      <c r="M14" t="s">
        <v>53</v>
      </c>
      <c r="N14">
        <f>N13/10</f>
        <v>0.7</v>
      </c>
    </row>
    <row r="15" spans="1:23" x14ac:dyDescent="0.3">
      <c r="A15" s="19" t="s">
        <v>7</v>
      </c>
      <c r="B15" s="19"/>
      <c r="C15">
        <f>COUNTIF(G3:G12,0)</f>
        <v>7</v>
      </c>
    </row>
    <row r="16" spans="1:23" x14ac:dyDescent="0.3">
      <c r="H16" s="7" t="s">
        <v>33</v>
      </c>
      <c r="I16" s="7" t="s">
        <v>35</v>
      </c>
      <c r="J16" s="7" t="s">
        <v>36</v>
      </c>
      <c r="L16" s="20" t="s">
        <v>44</v>
      </c>
      <c r="M16" s="20"/>
      <c r="N16" s="6">
        <f>MAX(P23:P26)</f>
        <v>0.24500000000000002</v>
      </c>
    </row>
    <row r="17" spans="1:18" x14ac:dyDescent="0.3">
      <c r="H17" s="7"/>
      <c r="I17" s="7" t="s">
        <v>41</v>
      </c>
      <c r="J17" s="7" t="s">
        <v>42</v>
      </c>
      <c r="L17" s="20" t="s">
        <v>45</v>
      </c>
      <c r="M17" s="20"/>
      <c r="N17" s="7">
        <f xml:space="preserve"> INDEX(B23:B26,MATCH(N16,P23:P26, 0))</f>
        <v>21.5</v>
      </c>
    </row>
    <row r="18" spans="1:18" x14ac:dyDescent="0.3">
      <c r="H18" s="7"/>
      <c r="I18" s="7" t="s">
        <v>34</v>
      </c>
      <c r="J18" s="7" t="s">
        <v>37</v>
      </c>
      <c r="L18" s="20" t="s">
        <v>49</v>
      </c>
      <c r="M18" s="20"/>
      <c r="N18" s="7">
        <v>0</v>
      </c>
    </row>
    <row r="19" spans="1:18" x14ac:dyDescent="0.3">
      <c r="H19" s="7"/>
      <c r="I19" s="7" t="s">
        <v>38</v>
      </c>
      <c r="J19" s="7" t="s">
        <v>39</v>
      </c>
      <c r="L19" s="20" t="s">
        <v>50</v>
      </c>
      <c r="M19" s="20"/>
      <c r="N19" s="7">
        <v>1</v>
      </c>
    </row>
    <row r="20" spans="1:18" x14ac:dyDescent="0.3">
      <c r="H20" s="7"/>
      <c r="I20" s="7" t="s">
        <v>43</v>
      </c>
      <c r="J20" s="7" t="s">
        <v>40</v>
      </c>
    </row>
    <row r="21" spans="1:18" x14ac:dyDescent="0.3">
      <c r="A21" s="21" t="s">
        <v>32</v>
      </c>
      <c r="B21" s="21"/>
    </row>
    <row r="22" spans="1:18" x14ac:dyDescent="0.3">
      <c r="A22" s="43" t="s">
        <v>13</v>
      </c>
      <c r="B22" s="43" t="s">
        <v>16</v>
      </c>
      <c r="C22" s="43" t="s">
        <v>18</v>
      </c>
      <c r="D22" s="43" t="s">
        <v>19</v>
      </c>
      <c r="E22" s="43" t="s">
        <v>20</v>
      </c>
      <c r="F22" s="43" t="s">
        <v>21</v>
      </c>
      <c r="G22" s="43" t="s">
        <v>22</v>
      </c>
      <c r="H22" s="43" t="s">
        <v>23</v>
      </c>
      <c r="I22" s="43" t="s">
        <v>24</v>
      </c>
      <c r="J22" s="43" t="s">
        <v>25</v>
      </c>
      <c r="K22" s="43" t="s">
        <v>26</v>
      </c>
      <c r="L22" s="43" t="s">
        <v>27</v>
      </c>
      <c r="M22" s="43" t="s">
        <v>28</v>
      </c>
      <c r="N22" s="43" t="s">
        <v>29</v>
      </c>
      <c r="O22" s="43" t="s">
        <v>30</v>
      </c>
      <c r="P22" s="43" t="s">
        <v>31</v>
      </c>
      <c r="Q22" s="44" t="s">
        <v>46</v>
      </c>
      <c r="R22" s="44" t="s">
        <v>47</v>
      </c>
    </row>
    <row r="23" spans="1:18" x14ac:dyDescent="0.3">
      <c r="A23" s="3">
        <v>1</v>
      </c>
      <c r="B23" s="3">
        <v>18.5</v>
      </c>
      <c r="C23" s="3">
        <f>COUNTIF($F$3:$F$12,"&lt;="&amp;B23)</f>
        <v>1</v>
      </c>
      <c r="D23" s="3">
        <f xml:space="preserve"> COUNTIFS($F$3:$F$12, "&lt;=" &amp; B23,$G$3:$G$12, 1)</f>
        <v>0</v>
      </c>
      <c r="E23" s="3">
        <f xml:space="preserve"> COUNTIFS($F$3:$F$12, "&lt;=" &amp; B23,$G$3:$G$12, 0)</f>
        <v>1</v>
      </c>
      <c r="F23" s="3">
        <f>D23 / C23</f>
        <v>0</v>
      </c>
      <c r="G23" s="3">
        <f>E23 / C23</f>
        <v>1</v>
      </c>
      <c r="H23" s="3">
        <f xml:space="preserve"> 1 - ( F23^2 +G23^2 )</f>
        <v>0</v>
      </c>
      <c r="I23" s="3">
        <f xml:space="preserve"> $C$13 -C23</f>
        <v>9</v>
      </c>
      <c r="J23" s="3">
        <f xml:space="preserve"> $C$14 -D23</f>
        <v>3</v>
      </c>
      <c r="K23" s="3">
        <f xml:space="preserve"> $C$15 -E23</f>
        <v>6</v>
      </c>
      <c r="L23" s="3">
        <f>J23/I23</f>
        <v>0.33333333333333331</v>
      </c>
      <c r="M23" s="3">
        <f>K23/I23</f>
        <v>0.66666666666666663</v>
      </c>
      <c r="N23" s="3">
        <f xml:space="preserve"> 1 - ( L23^2 +M23^2 )</f>
        <v>0.44444444444444442</v>
      </c>
      <c r="O23" s="3">
        <f xml:space="preserve"> (C23 /$C$13) * H23 +(I23 / $C$13) * N23</f>
        <v>0.39999999999999997</v>
      </c>
      <c r="P23" s="3">
        <f xml:space="preserve"> $I$8 - O23</f>
        <v>2.0000000000000073E-2</v>
      </c>
      <c r="Q23" s="5">
        <f>IF(D23 &gt; E23, 1, 0)</f>
        <v>0</v>
      </c>
      <c r="R23" s="5">
        <f>IF(J23 &gt; K23, 1, 0)</f>
        <v>0</v>
      </c>
    </row>
    <row r="24" spans="1:18" x14ac:dyDescent="0.3">
      <c r="A24" s="17">
        <v>2</v>
      </c>
      <c r="B24" s="17">
        <v>20</v>
      </c>
      <c r="C24" s="3">
        <f t="shared" ref="C24:C26" si="3">COUNTIF($F$3:$F$12,"&lt;="&amp;B24)</f>
        <v>7</v>
      </c>
      <c r="D24" s="3">
        <f t="shared" ref="D24:D25" si="4" xml:space="preserve"> COUNTIFS($F$3:$F$12, "&lt;=" &amp; B24,$G$3:$G$12, 1)</f>
        <v>1</v>
      </c>
      <c r="E24" s="3">
        <f t="shared" ref="E24:E25" si="5" xml:space="preserve"> COUNTIFS($F$3:$F$12, "&lt;=" &amp; B24,$G$3:$G$12, 0)</f>
        <v>6</v>
      </c>
      <c r="F24" s="3">
        <f t="shared" ref="F24" si="6">D24 / C24</f>
        <v>0.14285714285714285</v>
      </c>
      <c r="G24" s="3">
        <f t="shared" ref="G24:G25" si="7">E24 / C24</f>
        <v>0.8571428571428571</v>
      </c>
      <c r="H24" s="3">
        <f t="shared" ref="H24:H25" si="8" xml:space="preserve"> 1 - ( F24^2 +G24^2 )</f>
        <v>0.24489795918367352</v>
      </c>
      <c r="I24" s="3">
        <f t="shared" ref="I24:I25" si="9" xml:space="preserve"> $C$13 -C24</f>
        <v>3</v>
      </c>
      <c r="J24" s="3">
        <f t="shared" ref="J24:J25" si="10" xml:space="preserve"> $C$14 -D24</f>
        <v>2</v>
      </c>
      <c r="K24" s="3">
        <f t="shared" ref="K24:K25" si="11" xml:space="preserve"> $C$15 -E24</f>
        <v>1</v>
      </c>
      <c r="L24" s="3">
        <f t="shared" ref="L24:L25" si="12">J24/I24</f>
        <v>0.66666666666666663</v>
      </c>
      <c r="M24" s="3">
        <f t="shared" ref="M24:M25" si="13">K24/I24</f>
        <v>0.33333333333333331</v>
      </c>
      <c r="N24" s="3">
        <f t="shared" ref="N24:N25" si="14" xml:space="preserve"> 1 - ( L24^2 +M24^2 )</f>
        <v>0.44444444444444442</v>
      </c>
      <c r="O24" s="3">
        <f t="shared" ref="O24" si="15" xml:space="preserve"> (C24 /$C$13) * H24 +(I24 / $C$13) * N24</f>
        <v>0.30476190476190479</v>
      </c>
      <c r="P24" s="3">
        <f t="shared" ref="P24:P26" si="16" xml:space="preserve"> $I$8 - O24</f>
        <v>0.11523809523809525</v>
      </c>
      <c r="Q24" s="5">
        <f t="shared" ref="Q24:Q25" si="17">IF(D24 &gt; E24, 1, 0)</f>
        <v>0</v>
      </c>
      <c r="R24" s="5">
        <f t="shared" ref="R24:R25" si="18">IF(J24 &gt; K24, 1, 0)</f>
        <v>1</v>
      </c>
    </row>
    <row r="25" spans="1:18" x14ac:dyDescent="0.3">
      <c r="A25" s="17">
        <v>3</v>
      </c>
      <c r="B25" s="17">
        <v>21.5</v>
      </c>
      <c r="C25" s="3">
        <f t="shared" si="3"/>
        <v>8</v>
      </c>
      <c r="D25" s="3">
        <f t="shared" si="4"/>
        <v>1</v>
      </c>
      <c r="E25" s="3">
        <f t="shared" si="5"/>
        <v>7</v>
      </c>
      <c r="F25" s="3">
        <f>D25 / C25</f>
        <v>0.125</v>
      </c>
      <c r="G25" s="3">
        <f t="shared" si="7"/>
        <v>0.875</v>
      </c>
      <c r="H25" s="3">
        <f t="shared" si="8"/>
        <v>0.21875</v>
      </c>
      <c r="I25" s="3">
        <f t="shared" si="9"/>
        <v>2</v>
      </c>
      <c r="J25" s="3">
        <f t="shared" si="10"/>
        <v>2</v>
      </c>
      <c r="K25" s="3">
        <f t="shared" si="11"/>
        <v>0</v>
      </c>
      <c r="L25" s="3">
        <f t="shared" si="12"/>
        <v>1</v>
      </c>
      <c r="M25" s="3">
        <f t="shared" si="13"/>
        <v>0</v>
      </c>
      <c r="N25" s="3">
        <f t="shared" si="14"/>
        <v>0</v>
      </c>
      <c r="O25" s="3">
        <f xml:space="preserve"> (C25 /$C$13) * H25 +(I25 / $C$13) * N25</f>
        <v>0.17500000000000002</v>
      </c>
      <c r="P25" s="3">
        <f t="shared" si="16"/>
        <v>0.24500000000000002</v>
      </c>
      <c r="Q25" s="5">
        <f t="shared" si="17"/>
        <v>0</v>
      </c>
      <c r="R25" s="5">
        <f t="shared" si="18"/>
        <v>1</v>
      </c>
    </row>
    <row r="26" spans="1:18" x14ac:dyDescent="0.3">
      <c r="A26" s="17">
        <v>4</v>
      </c>
      <c r="B26" s="17">
        <v>22.5</v>
      </c>
      <c r="C26" s="3">
        <f t="shared" si="3"/>
        <v>9</v>
      </c>
      <c r="D26" s="3">
        <f t="shared" ref="D26" si="19" xml:space="preserve"> COUNTIFS($F$3:$F$12, "&lt;=" &amp; B26,$G$3:$G$12, 1)</f>
        <v>2</v>
      </c>
      <c r="E26" s="3">
        <f t="shared" ref="E26" si="20" xml:space="preserve"> COUNTIFS($F$3:$F$12, "&lt;=" &amp; B26,$G$3:$G$12, 0)</f>
        <v>7</v>
      </c>
      <c r="F26" s="3">
        <f t="shared" ref="F26" si="21">D26 / C26</f>
        <v>0.22222222222222221</v>
      </c>
      <c r="G26" s="3">
        <f t="shared" ref="G26" si="22">E26 / C26</f>
        <v>0.77777777777777779</v>
      </c>
      <c r="H26" s="3">
        <f t="shared" ref="H26" si="23" xml:space="preserve"> 1 - ( F26^2 +G26^2 )</f>
        <v>0.34567901234567899</v>
      </c>
      <c r="I26" s="3">
        <f t="shared" ref="I26" si="24" xml:space="preserve"> $C$13 -C26</f>
        <v>1</v>
      </c>
      <c r="J26" s="3">
        <f t="shared" ref="J26" si="25" xml:space="preserve"> $C$14 -D26</f>
        <v>1</v>
      </c>
      <c r="K26" s="3">
        <f t="shared" ref="K26" si="26" xml:space="preserve"> $C$15 -E26</f>
        <v>0</v>
      </c>
      <c r="L26" s="3">
        <f t="shared" ref="L26" si="27">J26/I26</f>
        <v>1</v>
      </c>
      <c r="M26" s="3">
        <f t="shared" ref="M26" si="28">K26/I26</f>
        <v>0</v>
      </c>
      <c r="N26" s="3">
        <f t="shared" ref="N26" si="29" xml:space="preserve"> 1 - ( L26^2 +M26^2 )</f>
        <v>0</v>
      </c>
      <c r="O26" s="3">
        <f t="shared" ref="O26" si="30" xml:space="preserve"> (C26 /$C$13) * H26 +(I26 / $C$13) * N26</f>
        <v>0.31111111111111112</v>
      </c>
      <c r="P26" s="3">
        <f t="shared" si="16"/>
        <v>0.10888888888888892</v>
      </c>
      <c r="Q26" s="5">
        <f t="shared" ref="Q26" si="31">IF(D26 &gt; E26, 1, 0)</f>
        <v>0</v>
      </c>
      <c r="R26" s="5">
        <f t="shared" ref="R26" si="32">IF(J26 &gt; K26, 1, 0)</f>
        <v>1</v>
      </c>
    </row>
    <row r="29" spans="1:18" x14ac:dyDescent="0.3">
      <c r="G29">
        <f ca="1">RANDBETWEEN(0,9)</f>
        <v>3</v>
      </c>
    </row>
    <row r="30" spans="1:18" x14ac:dyDescent="0.3">
      <c r="G30" cm="1">
        <f t="array" ref="G30">INDEX($B$3:$B$12, E3+1)</f>
        <v>19</v>
      </c>
    </row>
    <row r="31" spans="1:18" x14ac:dyDescent="0.3">
      <c r="G31" cm="1">
        <f t="array" ref="G31">INDEX($B$3:$B$12, E3+1)</f>
        <v>19</v>
      </c>
    </row>
    <row r="37" spans="7:10" x14ac:dyDescent="0.3">
      <c r="J37" t="s">
        <v>55</v>
      </c>
    </row>
    <row r="40" spans="7:10" x14ac:dyDescent="0.3">
      <c r="G40" s="15"/>
    </row>
    <row r="41" spans="7:10" x14ac:dyDescent="0.3">
      <c r="G41" s="15"/>
    </row>
    <row r="42" spans="7:10" x14ac:dyDescent="0.3">
      <c r="G42" s="15"/>
    </row>
    <row r="43" spans="7:10" x14ac:dyDescent="0.3">
      <c r="G43" s="15"/>
    </row>
    <row r="44" spans="7:10" x14ac:dyDescent="0.3">
      <c r="G44" s="15"/>
    </row>
    <row r="45" spans="7:10" x14ac:dyDescent="0.3">
      <c r="G45" s="15"/>
    </row>
    <row r="46" spans="7:10" x14ac:dyDescent="0.3">
      <c r="G46" s="15"/>
    </row>
    <row r="47" spans="7:10" x14ac:dyDescent="0.3">
      <c r="G47" s="15"/>
    </row>
    <row r="48" spans="7:10" x14ac:dyDescent="0.3">
      <c r="G48" s="15"/>
    </row>
    <row r="49" spans="7:7" x14ac:dyDescent="0.3">
      <c r="G49" s="15"/>
    </row>
    <row r="50" spans="7:7" x14ac:dyDescent="0.3">
      <c r="G50" s="15"/>
    </row>
  </sheetData>
  <mergeCells count="12">
    <mergeCell ref="A21:B21"/>
    <mergeCell ref="A1:C1"/>
    <mergeCell ref="H1:J1"/>
    <mergeCell ref="H5:I5"/>
    <mergeCell ref="I9:J9"/>
    <mergeCell ref="A13:B13"/>
    <mergeCell ref="A14:B14"/>
    <mergeCell ref="A15:B15"/>
    <mergeCell ref="L16:M16"/>
    <mergeCell ref="L17:M17"/>
    <mergeCell ref="L18:M18"/>
    <mergeCell ref="L19:M19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84E26-0050-4AAF-90D3-BF168E8D4CB7}">
  <dimension ref="A1:V50"/>
  <sheetViews>
    <sheetView zoomScale="72" zoomScaleNormal="70" workbookViewId="0">
      <selection activeCell="S13" sqref="S13"/>
    </sheetView>
  </sheetViews>
  <sheetFormatPr defaultRowHeight="14.4" x14ac:dyDescent="0.3"/>
  <cols>
    <col min="1" max="1" width="6.6640625" customWidth="1"/>
    <col min="2" max="2" width="11.77734375" customWidth="1"/>
    <col min="3" max="3" width="8.33203125" customWidth="1"/>
    <col min="4" max="4" width="11.77734375" bestFit="1" customWidth="1"/>
    <col min="5" max="5" width="13.44140625" bestFit="1" customWidth="1"/>
    <col min="6" max="8" width="11.88671875" bestFit="1" customWidth="1"/>
    <col min="9" max="9" width="11.6640625" bestFit="1" customWidth="1"/>
    <col min="10" max="10" width="11.88671875" customWidth="1"/>
    <col min="11" max="11" width="10.88671875" customWidth="1"/>
    <col min="12" max="16" width="11.88671875" bestFit="1" customWidth="1"/>
    <col min="20" max="20" width="11.6640625" customWidth="1"/>
    <col min="21" max="21" width="12.21875" customWidth="1"/>
  </cols>
  <sheetData>
    <row r="1" spans="1:22" ht="36.6" customHeight="1" x14ac:dyDescent="0.3">
      <c r="A1" s="21" t="s">
        <v>4</v>
      </c>
      <c r="B1" s="21"/>
      <c r="C1" s="21"/>
      <c r="H1" s="21" t="s">
        <v>3</v>
      </c>
      <c r="I1" s="21"/>
      <c r="J1" s="21"/>
      <c r="L1" t="s">
        <v>56</v>
      </c>
      <c r="M1" s="15" t="s">
        <v>67</v>
      </c>
      <c r="N1" s="15"/>
      <c r="O1" s="15"/>
      <c r="P1" s="15"/>
      <c r="Q1" s="15"/>
      <c r="R1" s="15"/>
      <c r="S1" s="15"/>
      <c r="T1" s="15"/>
      <c r="U1" s="15"/>
      <c r="V1" s="15"/>
    </row>
    <row r="2" spans="1:22" ht="28.8" x14ac:dyDescent="0.3">
      <c r="A2" s="8" t="s">
        <v>0</v>
      </c>
      <c r="B2" s="8" t="s">
        <v>1</v>
      </c>
      <c r="C2" s="8" t="s">
        <v>2</v>
      </c>
      <c r="D2" s="8" t="s">
        <v>57</v>
      </c>
      <c r="E2" s="8" t="s">
        <v>58</v>
      </c>
      <c r="F2" s="8" t="s">
        <v>62</v>
      </c>
      <c r="G2" s="8" t="s">
        <v>63</v>
      </c>
      <c r="H2" s="53" t="s">
        <v>0</v>
      </c>
      <c r="I2" s="25" t="s">
        <v>1</v>
      </c>
      <c r="J2" s="25" t="s">
        <v>2</v>
      </c>
      <c r="L2" s="59" t="s">
        <v>1</v>
      </c>
      <c r="M2" s="60" t="s">
        <v>0</v>
      </c>
      <c r="N2" s="60" t="s">
        <v>1</v>
      </c>
      <c r="O2" s="60" t="s">
        <v>2</v>
      </c>
      <c r="P2" s="60" t="s">
        <v>68</v>
      </c>
      <c r="Q2" s="60" t="s">
        <v>51</v>
      </c>
      <c r="R2" s="49"/>
      <c r="S2" s="60" t="s">
        <v>0</v>
      </c>
      <c r="T2" s="60" t="s">
        <v>1</v>
      </c>
      <c r="U2" s="60" t="s">
        <v>2</v>
      </c>
      <c r="V2" s="60" t="s">
        <v>68</v>
      </c>
    </row>
    <row r="3" spans="1:22" x14ac:dyDescent="0.3">
      <c r="A3" s="9">
        <v>0</v>
      </c>
      <c r="B3" s="9">
        <v>18</v>
      </c>
      <c r="C3" s="9">
        <v>1</v>
      </c>
      <c r="D3" s="9">
        <v>1</v>
      </c>
      <c r="E3" s="10">
        <v>5</v>
      </c>
      <c r="F3" s="10">
        <v>19</v>
      </c>
      <c r="G3" s="10">
        <v>0</v>
      </c>
      <c r="H3" s="54">
        <v>10</v>
      </c>
      <c r="I3" s="26">
        <v>20</v>
      </c>
      <c r="J3" s="26">
        <v>0</v>
      </c>
      <c r="L3" s="27" cm="1">
        <f t="array" ref="L3:L12" xml:space="preserve"> _xlfn._xlws.SORT(F3:F12)</f>
        <v>18</v>
      </c>
      <c r="M3" s="61">
        <v>0</v>
      </c>
      <c r="N3" s="61">
        <v>18</v>
      </c>
      <c r="O3" s="61">
        <v>1</v>
      </c>
      <c r="P3" s="62">
        <f t="shared" ref="P3:P12" si="0" xml:space="preserve">  IF( N3 &lt;= $N$17,$N$18,$N$19 )</f>
        <v>0</v>
      </c>
      <c r="Q3" s="62">
        <f xml:space="preserve"> IF( P3 = O3, 1, 0 )</f>
        <v>0</v>
      </c>
      <c r="R3" s="49"/>
      <c r="S3" s="63">
        <v>10</v>
      </c>
      <c r="T3" s="63">
        <v>20</v>
      </c>
      <c r="U3" s="63">
        <v>0</v>
      </c>
      <c r="V3" s="62">
        <f xml:space="preserve">  IF( T3 &lt;= $N$17,$N$18,$N$19 )</f>
        <v>0</v>
      </c>
    </row>
    <row r="4" spans="1:22" x14ac:dyDescent="0.3">
      <c r="A4" s="9">
        <v>1</v>
      </c>
      <c r="B4" s="9">
        <v>21</v>
      </c>
      <c r="C4" s="9">
        <v>0</v>
      </c>
      <c r="D4" s="9">
        <v>2</v>
      </c>
      <c r="E4" s="10">
        <v>9</v>
      </c>
      <c r="F4" s="10">
        <v>18</v>
      </c>
      <c r="G4" s="10">
        <v>0</v>
      </c>
      <c r="L4" s="27">
        <v>18</v>
      </c>
      <c r="M4" s="61">
        <v>1</v>
      </c>
      <c r="N4" s="61">
        <v>21</v>
      </c>
      <c r="O4" s="61">
        <v>0</v>
      </c>
      <c r="P4" s="62">
        <f t="shared" si="0"/>
        <v>0</v>
      </c>
      <c r="Q4" s="62">
        <f t="shared" ref="Q4:Q12" si="1" xml:space="preserve"> IF( P4 = O4, 1, 0 )</f>
        <v>1</v>
      </c>
      <c r="R4" s="49"/>
      <c r="S4" s="49"/>
      <c r="T4" s="49"/>
      <c r="U4" s="49"/>
      <c r="V4" s="49"/>
    </row>
    <row r="5" spans="1:22" x14ac:dyDescent="0.3">
      <c r="A5" s="9">
        <v>2</v>
      </c>
      <c r="B5" s="9">
        <v>19</v>
      </c>
      <c r="C5" s="9">
        <v>1</v>
      </c>
      <c r="D5" s="9">
        <v>3</v>
      </c>
      <c r="E5" s="10">
        <v>8</v>
      </c>
      <c r="F5" s="10">
        <v>19</v>
      </c>
      <c r="G5" s="10">
        <v>0</v>
      </c>
      <c r="H5" s="21" t="s">
        <v>11</v>
      </c>
      <c r="I5" s="21"/>
      <c r="L5" s="27">
        <v>19</v>
      </c>
      <c r="M5" s="61">
        <v>2</v>
      </c>
      <c r="N5" s="61">
        <v>19</v>
      </c>
      <c r="O5" s="61">
        <v>1</v>
      </c>
      <c r="P5" s="62">
        <f t="shared" si="0"/>
        <v>0</v>
      </c>
      <c r="Q5" s="62">
        <f xml:space="preserve"> IF( P5 = O5, 1, 0 )</f>
        <v>0</v>
      </c>
      <c r="R5" s="49"/>
      <c r="S5" s="49"/>
      <c r="T5" s="49"/>
      <c r="U5" s="49"/>
      <c r="V5" s="49"/>
    </row>
    <row r="6" spans="1:22" x14ac:dyDescent="0.3">
      <c r="A6" s="9">
        <v>3</v>
      </c>
      <c r="B6" s="9">
        <v>22</v>
      </c>
      <c r="C6" s="9">
        <v>1</v>
      </c>
      <c r="D6" s="9">
        <v>4</v>
      </c>
      <c r="E6" s="10">
        <v>5</v>
      </c>
      <c r="F6" s="10">
        <v>19</v>
      </c>
      <c r="G6" s="10">
        <v>0</v>
      </c>
      <c r="H6" s="55" t="s">
        <v>8</v>
      </c>
      <c r="I6" s="27">
        <f>C14/C13</f>
        <v>0.1</v>
      </c>
      <c r="L6" s="27">
        <v>19</v>
      </c>
      <c r="M6" s="61">
        <v>3</v>
      </c>
      <c r="N6" s="61">
        <v>22</v>
      </c>
      <c r="O6" s="61">
        <v>1</v>
      </c>
      <c r="P6" s="62">
        <f t="shared" si="0"/>
        <v>0</v>
      </c>
      <c r="Q6" s="62">
        <f t="shared" si="1"/>
        <v>0</v>
      </c>
      <c r="R6" s="49"/>
      <c r="S6" s="49"/>
      <c r="T6" s="49"/>
      <c r="U6" s="49"/>
      <c r="V6" s="49"/>
    </row>
    <row r="7" spans="1:22" x14ac:dyDescent="0.3">
      <c r="A7" s="9">
        <v>4</v>
      </c>
      <c r="B7" s="9">
        <v>23</v>
      </c>
      <c r="C7" s="9">
        <v>0</v>
      </c>
      <c r="D7" s="9">
        <v>5</v>
      </c>
      <c r="E7" s="10">
        <v>1</v>
      </c>
      <c r="F7" s="10">
        <v>21</v>
      </c>
      <c r="G7" s="10">
        <v>0</v>
      </c>
      <c r="H7" s="55" t="s">
        <v>9</v>
      </c>
      <c r="I7" s="27">
        <f>C15/C13</f>
        <v>0.9</v>
      </c>
      <c r="L7" s="27">
        <v>19</v>
      </c>
      <c r="M7" s="61">
        <v>4</v>
      </c>
      <c r="N7" s="61">
        <v>23</v>
      </c>
      <c r="O7" s="61">
        <v>0</v>
      </c>
      <c r="P7" s="62">
        <f t="shared" si="0"/>
        <v>0</v>
      </c>
      <c r="Q7" s="62">
        <f t="shared" si="1"/>
        <v>1</v>
      </c>
      <c r="R7" s="49"/>
      <c r="S7" s="49"/>
      <c r="T7" s="49"/>
      <c r="U7" s="49"/>
      <c r="V7" s="49"/>
    </row>
    <row r="8" spans="1:22" x14ac:dyDescent="0.3">
      <c r="A8" s="9">
        <v>5</v>
      </c>
      <c r="B8" s="9">
        <v>19</v>
      </c>
      <c r="C8" s="9">
        <v>0</v>
      </c>
      <c r="D8" s="9">
        <v>6</v>
      </c>
      <c r="E8" s="10">
        <v>9</v>
      </c>
      <c r="F8" s="10">
        <v>18</v>
      </c>
      <c r="G8" s="10">
        <v>0</v>
      </c>
      <c r="H8" s="55" t="s">
        <v>10</v>
      </c>
      <c r="I8" s="27">
        <f>1 - (I6^2 +I7^2 )</f>
        <v>0.17999999999999994</v>
      </c>
      <c r="L8" s="27">
        <v>19</v>
      </c>
      <c r="M8" s="61">
        <v>5</v>
      </c>
      <c r="N8" s="61">
        <v>19</v>
      </c>
      <c r="O8" s="61">
        <v>0</v>
      </c>
      <c r="P8" s="62">
        <f t="shared" si="0"/>
        <v>0</v>
      </c>
      <c r="Q8" s="62">
        <f t="shared" si="1"/>
        <v>1</v>
      </c>
      <c r="R8" s="49"/>
      <c r="S8" s="49"/>
      <c r="T8" s="49"/>
      <c r="U8" s="49"/>
      <c r="V8" s="49"/>
    </row>
    <row r="9" spans="1:22" x14ac:dyDescent="0.3">
      <c r="A9" s="9">
        <v>6</v>
      </c>
      <c r="B9" s="9">
        <v>23</v>
      </c>
      <c r="C9" s="9">
        <v>1</v>
      </c>
      <c r="D9" s="9">
        <v>7</v>
      </c>
      <c r="E9" s="10">
        <v>8</v>
      </c>
      <c r="F9" s="10">
        <v>19</v>
      </c>
      <c r="G9" s="10">
        <v>0</v>
      </c>
      <c r="I9" s="21" t="s">
        <v>17</v>
      </c>
      <c r="J9" s="21"/>
      <c r="L9" s="27">
        <v>19</v>
      </c>
      <c r="M9" s="61">
        <v>6</v>
      </c>
      <c r="N9" s="61">
        <v>23</v>
      </c>
      <c r="O9" s="61">
        <v>1</v>
      </c>
      <c r="P9" s="62">
        <f t="shared" si="0"/>
        <v>0</v>
      </c>
      <c r="Q9" s="62">
        <f t="shared" si="1"/>
        <v>0</v>
      </c>
      <c r="R9" s="49"/>
      <c r="S9" s="49"/>
      <c r="T9" s="49"/>
      <c r="U9" s="49"/>
      <c r="V9" s="49"/>
    </row>
    <row r="10" spans="1:22" ht="18" customHeight="1" x14ac:dyDescent="0.3">
      <c r="A10" s="9">
        <v>7</v>
      </c>
      <c r="B10" s="9">
        <v>18</v>
      </c>
      <c r="C10" s="9">
        <v>0</v>
      </c>
      <c r="D10" s="9">
        <v>8</v>
      </c>
      <c r="E10" s="10">
        <v>4</v>
      </c>
      <c r="F10" s="10">
        <v>23</v>
      </c>
      <c r="G10" s="10">
        <v>0</v>
      </c>
      <c r="H10" s="25" t="s">
        <v>13</v>
      </c>
      <c r="I10" s="25" t="s">
        <v>14</v>
      </c>
      <c r="J10" s="25" t="s">
        <v>15</v>
      </c>
      <c r="K10" s="25" t="s">
        <v>16</v>
      </c>
      <c r="L10" s="27">
        <v>21</v>
      </c>
      <c r="M10" s="61">
        <v>7</v>
      </c>
      <c r="N10" s="61">
        <v>18</v>
      </c>
      <c r="O10" s="61">
        <v>0</v>
      </c>
      <c r="P10" s="62">
        <f t="shared" si="0"/>
        <v>0</v>
      </c>
      <c r="Q10" s="62">
        <f t="shared" si="1"/>
        <v>1</v>
      </c>
      <c r="R10" s="49"/>
      <c r="S10" s="49"/>
      <c r="T10" s="49"/>
      <c r="U10" s="49"/>
      <c r="V10" s="49"/>
    </row>
    <row r="11" spans="1:22" x14ac:dyDescent="0.3">
      <c r="A11" s="9">
        <v>8</v>
      </c>
      <c r="B11" s="9">
        <v>19</v>
      </c>
      <c r="C11" s="9">
        <v>0</v>
      </c>
      <c r="D11" s="9">
        <v>9</v>
      </c>
      <c r="E11" s="10">
        <v>4</v>
      </c>
      <c r="F11" s="10">
        <v>23</v>
      </c>
      <c r="G11" s="10">
        <v>0</v>
      </c>
      <c r="H11" s="31">
        <v>1</v>
      </c>
      <c r="I11" s="31">
        <v>18</v>
      </c>
      <c r="J11" s="31">
        <v>19</v>
      </c>
      <c r="K11" s="31">
        <f>(I11 + J11)/2</f>
        <v>18.5</v>
      </c>
      <c r="L11" s="27">
        <v>23</v>
      </c>
      <c r="M11" s="61">
        <v>8</v>
      </c>
      <c r="N11" s="61">
        <v>19</v>
      </c>
      <c r="O11" s="61">
        <v>0</v>
      </c>
      <c r="P11" s="62">
        <f t="shared" si="0"/>
        <v>0</v>
      </c>
      <c r="Q11" s="62">
        <f t="shared" si="1"/>
        <v>1</v>
      </c>
      <c r="R11" s="49"/>
      <c r="S11" s="49"/>
      <c r="T11" s="49"/>
      <c r="U11" s="49"/>
      <c r="V11" s="49"/>
    </row>
    <row r="12" spans="1:22" x14ac:dyDescent="0.3">
      <c r="A12" s="9">
        <v>9</v>
      </c>
      <c r="B12" s="9">
        <v>18</v>
      </c>
      <c r="C12" s="9">
        <v>0</v>
      </c>
      <c r="D12" s="9">
        <v>10</v>
      </c>
      <c r="E12" s="10">
        <v>2</v>
      </c>
      <c r="F12" s="10">
        <v>19</v>
      </c>
      <c r="G12" s="10">
        <v>1</v>
      </c>
      <c r="H12" s="31">
        <v>2</v>
      </c>
      <c r="I12" s="31">
        <v>19</v>
      </c>
      <c r="J12" s="31">
        <v>21</v>
      </c>
      <c r="K12" s="31">
        <f t="shared" ref="K12:K13" si="2">(I12 + J12)/2</f>
        <v>20</v>
      </c>
      <c r="L12" s="27">
        <v>23</v>
      </c>
      <c r="M12" s="61">
        <v>9</v>
      </c>
      <c r="N12" s="61">
        <v>18</v>
      </c>
      <c r="O12" s="61">
        <v>0</v>
      </c>
      <c r="P12" s="62">
        <f t="shared" si="0"/>
        <v>0</v>
      </c>
      <c r="Q12" s="62">
        <f t="shared" si="1"/>
        <v>1</v>
      </c>
      <c r="R12" s="49"/>
      <c r="S12" s="49"/>
      <c r="T12" s="49"/>
      <c r="U12" s="49"/>
      <c r="V12" s="49"/>
    </row>
    <row r="13" spans="1:22" x14ac:dyDescent="0.3">
      <c r="A13" s="22" t="s">
        <v>5</v>
      </c>
      <c r="B13" s="22"/>
      <c r="C13">
        <f>COUNT(G3:G12)</f>
        <v>10</v>
      </c>
      <c r="H13" s="58">
        <v>3</v>
      </c>
      <c r="I13" s="58">
        <v>21</v>
      </c>
      <c r="J13" s="58">
        <v>23</v>
      </c>
      <c r="K13" s="58">
        <f t="shared" si="2"/>
        <v>22</v>
      </c>
      <c r="M13" t="s">
        <v>52</v>
      </c>
      <c r="N13">
        <f xml:space="preserve"> SUM(Q3:Q12)</f>
        <v>6</v>
      </c>
    </row>
    <row r="14" spans="1:22" x14ac:dyDescent="0.3">
      <c r="A14" s="19" t="s">
        <v>6</v>
      </c>
      <c r="B14" s="19"/>
      <c r="C14">
        <f>COUNTIF(G3:G12,1)</f>
        <v>1</v>
      </c>
      <c r="H14" s="79"/>
      <c r="I14" s="79"/>
      <c r="J14" s="79"/>
      <c r="K14" s="11"/>
      <c r="M14" t="s">
        <v>53</v>
      </c>
      <c r="N14">
        <f>N13/10</f>
        <v>0.6</v>
      </c>
    </row>
    <row r="15" spans="1:22" x14ac:dyDescent="0.3">
      <c r="A15" s="19" t="s">
        <v>7</v>
      </c>
      <c r="B15" s="19"/>
      <c r="C15">
        <f>COUNTIF(G3:G12,0)</f>
        <v>9</v>
      </c>
    </row>
    <row r="16" spans="1:22" x14ac:dyDescent="0.3">
      <c r="H16" s="7" t="s">
        <v>33</v>
      </c>
      <c r="I16" s="7" t="s">
        <v>35</v>
      </c>
      <c r="J16" s="7" t="s">
        <v>36</v>
      </c>
      <c r="L16" s="20" t="s">
        <v>44</v>
      </c>
      <c r="M16" s="20"/>
      <c r="N16" s="6">
        <f>MAX(P23:P26)</f>
        <v>8.5714285714284799E-3</v>
      </c>
    </row>
    <row r="17" spans="1:18" x14ac:dyDescent="0.3">
      <c r="H17" s="7"/>
      <c r="I17" s="7" t="s">
        <v>41</v>
      </c>
      <c r="J17" s="7" t="s">
        <v>42</v>
      </c>
      <c r="L17" s="20" t="s">
        <v>45</v>
      </c>
      <c r="M17" s="20"/>
      <c r="N17" s="7">
        <f xml:space="preserve"> INDEX(B23:B26,MATCH(N16,P23:P26, 0))</f>
        <v>20</v>
      </c>
    </row>
    <row r="18" spans="1:18" x14ac:dyDescent="0.3">
      <c r="H18" s="7"/>
      <c r="I18" s="7" t="s">
        <v>34</v>
      </c>
      <c r="J18" s="7" t="s">
        <v>37</v>
      </c>
      <c r="L18" s="20" t="s">
        <v>49</v>
      </c>
      <c r="M18" s="20"/>
      <c r="N18" s="7">
        <v>0</v>
      </c>
    </row>
    <row r="19" spans="1:18" x14ac:dyDescent="0.3">
      <c r="H19" s="7"/>
      <c r="I19" s="7" t="s">
        <v>38</v>
      </c>
      <c r="J19" s="7" t="s">
        <v>39</v>
      </c>
      <c r="L19" s="20" t="s">
        <v>50</v>
      </c>
      <c r="M19" s="20"/>
      <c r="N19" s="7">
        <v>0</v>
      </c>
    </row>
    <row r="20" spans="1:18" x14ac:dyDescent="0.3">
      <c r="H20" s="7"/>
      <c r="I20" s="7" t="s">
        <v>43</v>
      </c>
      <c r="J20" s="7" t="s">
        <v>40</v>
      </c>
    </row>
    <row r="21" spans="1:18" x14ac:dyDescent="0.3">
      <c r="A21" s="21" t="s">
        <v>32</v>
      </c>
      <c r="B21" s="21"/>
    </row>
    <row r="22" spans="1:18" x14ac:dyDescent="0.3">
      <c r="A22" s="43" t="s">
        <v>13</v>
      </c>
      <c r="B22" s="43" t="s">
        <v>16</v>
      </c>
      <c r="C22" s="43" t="s">
        <v>18</v>
      </c>
      <c r="D22" s="43" t="s">
        <v>19</v>
      </c>
      <c r="E22" s="43" t="s">
        <v>20</v>
      </c>
      <c r="F22" s="43" t="s">
        <v>21</v>
      </c>
      <c r="G22" s="43" t="s">
        <v>22</v>
      </c>
      <c r="H22" s="43" t="s">
        <v>23</v>
      </c>
      <c r="I22" s="43" t="s">
        <v>24</v>
      </c>
      <c r="J22" s="43" t="s">
        <v>25</v>
      </c>
      <c r="K22" s="43" t="s">
        <v>26</v>
      </c>
      <c r="L22" s="43" t="s">
        <v>27</v>
      </c>
      <c r="M22" s="43" t="s">
        <v>28</v>
      </c>
      <c r="N22" s="43" t="s">
        <v>29</v>
      </c>
      <c r="O22" s="43" t="s">
        <v>30</v>
      </c>
      <c r="P22" s="43" t="s">
        <v>31</v>
      </c>
      <c r="Q22" s="44" t="s">
        <v>46</v>
      </c>
      <c r="R22" s="44" t="s">
        <v>47</v>
      </c>
    </row>
    <row r="23" spans="1:18" x14ac:dyDescent="0.3">
      <c r="A23" s="3">
        <v>1</v>
      </c>
      <c r="B23" s="3">
        <v>18.5</v>
      </c>
      <c r="C23" s="3">
        <f>COUNTIF($F$3:$F$12,"&lt;="&amp;B23)</f>
        <v>2</v>
      </c>
      <c r="D23" s="3">
        <f xml:space="preserve"> COUNTIFS($F$3:$F$12, "&lt;=" &amp; B23,$G$3:$G$12, 1)</f>
        <v>0</v>
      </c>
      <c r="E23" s="3">
        <f xml:space="preserve"> COUNTIFS($F$3:$F$12, "&lt;=" &amp; B23,$G$3:$G$12, 0)</f>
        <v>2</v>
      </c>
      <c r="F23" s="3">
        <f>D23 / C23</f>
        <v>0</v>
      </c>
      <c r="G23" s="3">
        <f>E23 / C23</f>
        <v>1</v>
      </c>
      <c r="H23" s="3">
        <f xml:space="preserve"> 1 - ( F23^2 +G23^2 )</f>
        <v>0</v>
      </c>
      <c r="I23" s="3">
        <f xml:space="preserve"> $C$13 -C23</f>
        <v>8</v>
      </c>
      <c r="J23" s="3">
        <f xml:space="preserve"> $C$14 -D23</f>
        <v>1</v>
      </c>
      <c r="K23" s="3">
        <f xml:space="preserve"> $C$15 -E23</f>
        <v>7</v>
      </c>
      <c r="L23" s="3">
        <f>J23/I23</f>
        <v>0.125</v>
      </c>
      <c r="M23" s="3">
        <f>K23/I23</f>
        <v>0.875</v>
      </c>
      <c r="N23" s="3">
        <f xml:space="preserve"> 1 - ( L23^2 +M23^2 )</f>
        <v>0.21875</v>
      </c>
      <c r="O23" s="3">
        <f xml:space="preserve"> (C23 /$C$13) * H23 +(I23 / $C$13) * N23</f>
        <v>0.17500000000000002</v>
      </c>
      <c r="P23" s="3">
        <f xml:space="preserve"> $I$8 - O23</f>
        <v>4.9999999999999212E-3</v>
      </c>
      <c r="Q23" s="5">
        <f>IF(D23 &gt; E23, 1, 0)</f>
        <v>0</v>
      </c>
      <c r="R23" s="5">
        <f>IF(J23 &gt; K23, 1, 0)</f>
        <v>0</v>
      </c>
    </row>
    <row r="24" spans="1:18" x14ac:dyDescent="0.3">
      <c r="A24" s="17">
        <v>2</v>
      </c>
      <c r="B24" s="17">
        <v>20</v>
      </c>
      <c r="C24" s="3">
        <f t="shared" ref="C24:C25" si="3">COUNTIF($F$3:$F$12,"&lt;="&amp;B24)</f>
        <v>7</v>
      </c>
      <c r="D24" s="3">
        <f t="shared" ref="D24:D25" si="4" xml:space="preserve"> COUNTIFS($F$3:$F$12, "&lt;=" &amp; B24,$G$3:$G$12, 1)</f>
        <v>1</v>
      </c>
      <c r="E24" s="3">
        <f t="shared" ref="E24:E25" si="5" xml:space="preserve"> COUNTIFS($F$3:$F$12, "&lt;=" &amp; B24,$G$3:$G$12, 0)</f>
        <v>6</v>
      </c>
      <c r="F24" s="3">
        <f t="shared" ref="F24" si="6">D24 / C24</f>
        <v>0.14285714285714285</v>
      </c>
      <c r="G24" s="3">
        <f t="shared" ref="G24:G25" si="7">E24 / C24</f>
        <v>0.8571428571428571</v>
      </c>
      <c r="H24" s="3">
        <f t="shared" ref="H24:H25" si="8" xml:space="preserve"> 1 - ( F24^2 +G24^2 )</f>
        <v>0.24489795918367352</v>
      </c>
      <c r="I24" s="3">
        <f t="shared" ref="I24:I25" si="9" xml:space="preserve"> $C$13 -C24</f>
        <v>3</v>
      </c>
      <c r="J24" s="3">
        <f t="shared" ref="J24:J25" si="10" xml:space="preserve"> $C$14 -D24</f>
        <v>0</v>
      </c>
      <c r="K24" s="3">
        <f t="shared" ref="K24:K25" si="11" xml:space="preserve"> $C$15 -E24</f>
        <v>3</v>
      </c>
      <c r="L24" s="3">
        <f t="shared" ref="L24:L25" si="12">J24/I24</f>
        <v>0</v>
      </c>
      <c r="M24" s="3">
        <f t="shared" ref="M24:M25" si="13">K24/I24</f>
        <v>1</v>
      </c>
      <c r="N24" s="3">
        <f t="shared" ref="N24:N25" si="14" xml:space="preserve"> 1 - ( L24^2 +M24^2 )</f>
        <v>0</v>
      </c>
      <c r="O24" s="3">
        <f t="shared" ref="O24" si="15" xml:space="preserve"> (C24 /$C$13) * H24 +(I24 / $C$13) * N24</f>
        <v>0.17142857142857146</v>
      </c>
      <c r="P24" s="3">
        <f t="shared" ref="P24:P25" si="16" xml:space="preserve"> $I$8 - O24</f>
        <v>8.5714285714284799E-3</v>
      </c>
      <c r="Q24" s="5">
        <f>IF(D24 &gt; E24, 1, 0)</f>
        <v>0</v>
      </c>
      <c r="R24" s="5">
        <f t="shared" ref="R24:R25" si="17">IF(J24 &gt; K24, 1, 0)</f>
        <v>0</v>
      </c>
    </row>
    <row r="25" spans="1:18" x14ac:dyDescent="0.3">
      <c r="A25" s="17">
        <v>3</v>
      </c>
      <c r="B25" s="17">
        <v>22</v>
      </c>
      <c r="C25" s="17">
        <f t="shared" si="3"/>
        <v>8</v>
      </c>
      <c r="D25" s="17">
        <f t="shared" si="4"/>
        <v>1</v>
      </c>
      <c r="E25" s="17">
        <f t="shared" si="5"/>
        <v>7</v>
      </c>
      <c r="F25" s="17">
        <f>D25 / C25</f>
        <v>0.125</v>
      </c>
      <c r="G25" s="17">
        <f t="shared" si="7"/>
        <v>0.875</v>
      </c>
      <c r="H25" s="17">
        <f t="shared" si="8"/>
        <v>0.21875</v>
      </c>
      <c r="I25" s="17">
        <f t="shared" si="9"/>
        <v>2</v>
      </c>
      <c r="J25" s="17">
        <f t="shared" si="10"/>
        <v>0</v>
      </c>
      <c r="K25" s="17">
        <f t="shared" si="11"/>
        <v>2</v>
      </c>
      <c r="L25" s="17">
        <f t="shared" si="12"/>
        <v>0</v>
      </c>
      <c r="M25" s="17">
        <f t="shared" si="13"/>
        <v>1</v>
      </c>
      <c r="N25" s="17">
        <f t="shared" si="14"/>
        <v>0</v>
      </c>
      <c r="O25" s="17">
        <f xml:space="preserve"> (C25 /$C$13) * H25 +(I25 / $C$13) * N25</f>
        <v>0.17500000000000002</v>
      </c>
      <c r="P25" s="17">
        <f t="shared" si="16"/>
        <v>4.9999999999999212E-3</v>
      </c>
      <c r="Q25" s="18">
        <f t="shared" ref="Q25" si="18">IF(D25 &gt; E25, 1, 0)</f>
        <v>0</v>
      </c>
      <c r="R25" s="18">
        <f t="shared" si="17"/>
        <v>0</v>
      </c>
    </row>
    <row r="26" spans="1:18" s="13" customFormat="1" x14ac:dyDescent="0.3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</row>
    <row r="37" spans="7:10" x14ac:dyDescent="0.3">
      <c r="J37" t="s">
        <v>55</v>
      </c>
    </row>
    <row r="40" spans="7:10" x14ac:dyDescent="0.3">
      <c r="G40" s="15"/>
    </row>
    <row r="41" spans="7:10" x14ac:dyDescent="0.3">
      <c r="G41" s="15"/>
    </row>
    <row r="42" spans="7:10" x14ac:dyDescent="0.3">
      <c r="G42" s="15"/>
    </row>
    <row r="43" spans="7:10" x14ac:dyDescent="0.3">
      <c r="G43" s="15"/>
    </row>
    <row r="44" spans="7:10" x14ac:dyDescent="0.3">
      <c r="G44" s="15"/>
    </row>
    <row r="45" spans="7:10" x14ac:dyDescent="0.3">
      <c r="G45" s="15"/>
    </row>
    <row r="46" spans="7:10" x14ac:dyDescent="0.3">
      <c r="G46" s="15"/>
    </row>
    <row r="47" spans="7:10" x14ac:dyDescent="0.3">
      <c r="G47" s="15"/>
    </row>
    <row r="48" spans="7:10" x14ac:dyDescent="0.3">
      <c r="G48" s="15"/>
    </row>
    <row r="49" spans="7:7" x14ac:dyDescent="0.3">
      <c r="G49" s="15"/>
    </row>
    <row r="50" spans="7:7" x14ac:dyDescent="0.3">
      <c r="G50" s="15"/>
    </row>
  </sheetData>
  <mergeCells count="12">
    <mergeCell ref="A21:B21"/>
    <mergeCell ref="A1:C1"/>
    <mergeCell ref="H1:J1"/>
    <mergeCell ref="H5:I5"/>
    <mergeCell ref="I9:J9"/>
    <mergeCell ref="A13:B13"/>
    <mergeCell ref="A14:B14"/>
    <mergeCell ref="A15:B15"/>
    <mergeCell ref="L16:M16"/>
    <mergeCell ref="L17:M17"/>
    <mergeCell ref="L18:M18"/>
    <mergeCell ref="L19:M19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7C2F60-F45C-4EE1-B706-F436D43A434B}">
  <dimension ref="A1:N15"/>
  <sheetViews>
    <sheetView tabSelected="1" workbookViewId="0">
      <selection activeCell="G25" sqref="G25"/>
    </sheetView>
  </sheetViews>
  <sheetFormatPr defaultRowHeight="14.4" x14ac:dyDescent="0.3"/>
  <cols>
    <col min="4" max="8" width="10.109375" bestFit="1" customWidth="1"/>
  </cols>
  <sheetData>
    <row r="1" spans="1:14" x14ac:dyDescent="0.3">
      <c r="A1" t="s">
        <v>4</v>
      </c>
    </row>
    <row r="2" spans="1:14" x14ac:dyDescent="0.3">
      <c r="A2" s="23" t="s">
        <v>0</v>
      </c>
      <c r="B2" s="23" t="s">
        <v>1</v>
      </c>
      <c r="C2" s="23" t="s">
        <v>2</v>
      </c>
      <c r="D2" s="23" t="s">
        <v>48</v>
      </c>
      <c r="E2" s="23" t="s">
        <v>70</v>
      </c>
      <c r="F2" s="23" t="s">
        <v>65</v>
      </c>
      <c r="G2" s="23" t="s">
        <v>69</v>
      </c>
      <c r="H2" s="23" t="s">
        <v>68</v>
      </c>
      <c r="I2" s="23" t="s">
        <v>71</v>
      </c>
      <c r="J2" s="23" t="s">
        <v>72</v>
      </c>
      <c r="K2" s="24" t="s">
        <v>73</v>
      </c>
      <c r="L2" s="23" t="s">
        <v>74</v>
      </c>
    </row>
    <row r="3" spans="1:14" x14ac:dyDescent="0.3">
      <c r="A3" s="23">
        <v>0</v>
      </c>
      <c r="B3" s="24">
        <v>18</v>
      </c>
      <c r="C3" s="24">
        <v>1</v>
      </c>
      <c r="D3" s="23">
        <f>'Tree 1'!O3</f>
        <v>0</v>
      </c>
      <c r="E3" s="23">
        <f>'Tree 2'!Q3</f>
        <v>0</v>
      </c>
      <c r="F3" s="23">
        <f>'Tree 3'!Q3</f>
        <v>0</v>
      </c>
      <c r="G3" s="23">
        <f>'Tree 4'!P3</f>
        <v>0</v>
      </c>
      <c r="H3" s="23">
        <f>'Tree 5'!P3</f>
        <v>0</v>
      </c>
      <c r="I3" s="23">
        <f>COUNTIF(D3:H3,1)</f>
        <v>0</v>
      </c>
      <c r="J3" s="23">
        <f>COUNTIF(D3:H3,0)</f>
        <v>5</v>
      </c>
      <c r="K3" s="24">
        <f>IF(I3&gt;J3,1,0)</f>
        <v>0</v>
      </c>
      <c r="L3" s="23">
        <f>IF(K3=C3,1,0)</f>
        <v>0</v>
      </c>
      <c r="M3" t="s">
        <v>75</v>
      </c>
      <c r="N3">
        <f>SUM(L3:L12)/10</f>
        <v>0.7</v>
      </c>
    </row>
    <row r="4" spans="1:14" x14ac:dyDescent="0.3">
      <c r="A4" s="23">
        <v>1</v>
      </c>
      <c r="B4" s="24">
        <v>21</v>
      </c>
      <c r="C4" s="24">
        <v>0</v>
      </c>
      <c r="D4" s="23">
        <f>'Tree 1'!O4</f>
        <v>0</v>
      </c>
      <c r="E4" s="23">
        <f>'Tree 2'!Q4</f>
        <v>1</v>
      </c>
      <c r="F4" s="23">
        <f>'Tree 3'!Q4</f>
        <v>0</v>
      </c>
      <c r="G4" s="23">
        <f>'Tree 4'!P4</f>
        <v>0</v>
      </c>
      <c r="H4" s="23">
        <f>'Tree 5'!P4</f>
        <v>0</v>
      </c>
      <c r="I4" s="23">
        <f t="shared" ref="I4:I12" si="0">COUNTIF(D4:H4,1)</f>
        <v>1</v>
      </c>
      <c r="J4" s="23">
        <f t="shared" ref="J4:J12" si="1">COUNTIF(D4:H4,0)</f>
        <v>4</v>
      </c>
      <c r="K4" s="24">
        <f t="shared" ref="K4:K12" si="2">IF(I4&gt;J4,1,0)</f>
        <v>0</v>
      </c>
      <c r="L4" s="23">
        <f t="shared" ref="L4:L12" si="3">IF(K4=C4,1,0)</f>
        <v>1</v>
      </c>
    </row>
    <row r="5" spans="1:14" x14ac:dyDescent="0.3">
      <c r="A5" s="23">
        <v>2</v>
      </c>
      <c r="B5" s="24">
        <v>19</v>
      </c>
      <c r="C5" s="24">
        <v>1</v>
      </c>
      <c r="D5" s="23">
        <f>'Tree 1'!O5</f>
        <v>0</v>
      </c>
      <c r="E5" s="23">
        <f>'Tree 2'!Q5</f>
        <v>1</v>
      </c>
      <c r="F5" s="23">
        <f>'Tree 3'!Q5</f>
        <v>0</v>
      </c>
      <c r="G5" s="23">
        <f>'Tree 4'!P5</f>
        <v>0</v>
      </c>
      <c r="H5" s="23">
        <f>'Tree 5'!P5</f>
        <v>0</v>
      </c>
      <c r="I5" s="23">
        <f t="shared" si="0"/>
        <v>1</v>
      </c>
      <c r="J5" s="23">
        <f t="shared" si="1"/>
        <v>4</v>
      </c>
      <c r="K5" s="24">
        <f t="shared" si="2"/>
        <v>0</v>
      </c>
      <c r="L5" s="23">
        <f t="shared" si="3"/>
        <v>0</v>
      </c>
    </row>
    <row r="6" spans="1:14" x14ac:dyDescent="0.3">
      <c r="A6" s="23">
        <v>3</v>
      </c>
      <c r="B6" s="24">
        <v>22</v>
      </c>
      <c r="C6" s="24">
        <v>1</v>
      </c>
      <c r="D6" s="23">
        <f>'Tree 1'!O6</f>
        <v>1</v>
      </c>
      <c r="E6" s="23">
        <f>'Tree 2'!Q6</f>
        <v>1</v>
      </c>
      <c r="F6" s="23">
        <f>'Tree 3'!Q6</f>
        <v>0</v>
      </c>
      <c r="G6" s="23">
        <f>'Tree 4'!P6</f>
        <v>1</v>
      </c>
      <c r="H6" s="23">
        <f>'Tree 5'!P6</f>
        <v>0</v>
      </c>
      <c r="I6" s="23">
        <f t="shared" si="0"/>
        <v>3</v>
      </c>
      <c r="J6" s="23">
        <f t="shared" si="1"/>
        <v>2</v>
      </c>
      <c r="K6" s="24">
        <f t="shared" si="2"/>
        <v>1</v>
      </c>
      <c r="L6" s="23">
        <f t="shared" si="3"/>
        <v>1</v>
      </c>
    </row>
    <row r="7" spans="1:14" x14ac:dyDescent="0.3">
      <c r="A7" s="23">
        <v>4</v>
      </c>
      <c r="B7" s="24">
        <v>23</v>
      </c>
      <c r="C7" s="24">
        <v>0</v>
      </c>
      <c r="D7" s="23">
        <f>'Tree 1'!O7</f>
        <v>1</v>
      </c>
      <c r="E7" s="23">
        <f>'Tree 2'!Q7</f>
        <v>1</v>
      </c>
      <c r="F7" s="23">
        <f>'Tree 3'!Q7</f>
        <v>1</v>
      </c>
      <c r="G7" s="23">
        <f>'Tree 4'!P7</f>
        <v>1</v>
      </c>
      <c r="H7" s="23">
        <f>'Tree 5'!P7</f>
        <v>0</v>
      </c>
      <c r="I7" s="23">
        <f t="shared" si="0"/>
        <v>4</v>
      </c>
      <c r="J7" s="23">
        <f t="shared" si="1"/>
        <v>1</v>
      </c>
      <c r="K7" s="24">
        <f t="shared" si="2"/>
        <v>1</v>
      </c>
      <c r="L7" s="23">
        <f t="shared" si="3"/>
        <v>0</v>
      </c>
    </row>
    <row r="8" spans="1:14" x14ac:dyDescent="0.3">
      <c r="A8" s="23">
        <v>5</v>
      </c>
      <c r="B8" s="24">
        <v>19</v>
      </c>
      <c r="C8" s="24">
        <v>0</v>
      </c>
      <c r="D8" s="23">
        <f>'Tree 1'!O8</f>
        <v>0</v>
      </c>
      <c r="E8" s="23">
        <f>'Tree 2'!Q8</f>
        <v>1</v>
      </c>
      <c r="F8" s="23">
        <f>'Tree 3'!Q8</f>
        <v>0</v>
      </c>
      <c r="G8" s="23">
        <f>'Tree 4'!P8</f>
        <v>0</v>
      </c>
      <c r="H8" s="23">
        <f>'Tree 5'!P8</f>
        <v>0</v>
      </c>
      <c r="I8" s="23">
        <f t="shared" si="0"/>
        <v>1</v>
      </c>
      <c r="J8" s="23">
        <f t="shared" si="1"/>
        <v>4</v>
      </c>
      <c r="K8" s="24">
        <f t="shared" si="2"/>
        <v>0</v>
      </c>
      <c r="L8" s="23">
        <f t="shared" si="3"/>
        <v>1</v>
      </c>
    </row>
    <row r="9" spans="1:14" x14ac:dyDescent="0.3">
      <c r="A9" s="23">
        <v>6</v>
      </c>
      <c r="B9" s="24">
        <v>23</v>
      </c>
      <c r="C9" s="24">
        <v>1</v>
      </c>
      <c r="D9" s="23">
        <f>'Tree 1'!O9</f>
        <v>1</v>
      </c>
      <c r="E9" s="23">
        <f>'Tree 2'!Q9</f>
        <v>1</v>
      </c>
      <c r="F9" s="23">
        <f>'Tree 3'!Q9</f>
        <v>1</v>
      </c>
      <c r="G9" s="23">
        <f>'Tree 4'!P9</f>
        <v>1</v>
      </c>
      <c r="H9" s="23">
        <f>'Tree 5'!P9</f>
        <v>0</v>
      </c>
      <c r="I9" s="23">
        <f t="shared" si="0"/>
        <v>4</v>
      </c>
      <c r="J9" s="23">
        <f t="shared" si="1"/>
        <v>1</v>
      </c>
      <c r="K9" s="24">
        <f t="shared" si="2"/>
        <v>1</v>
      </c>
      <c r="L9" s="23">
        <f t="shared" si="3"/>
        <v>1</v>
      </c>
    </row>
    <row r="10" spans="1:14" x14ac:dyDescent="0.3">
      <c r="A10" s="23">
        <v>7</v>
      </c>
      <c r="B10" s="24">
        <v>18</v>
      </c>
      <c r="C10" s="24">
        <v>0</v>
      </c>
      <c r="D10" s="23">
        <f>'Tree 1'!O10</f>
        <v>0</v>
      </c>
      <c r="E10" s="23">
        <f>'Tree 2'!Q10</f>
        <v>0</v>
      </c>
      <c r="F10" s="23">
        <f>'Tree 3'!Q10</f>
        <v>0</v>
      </c>
      <c r="G10" s="23">
        <f>'Tree 4'!P10</f>
        <v>0</v>
      </c>
      <c r="H10" s="23">
        <f>'Tree 5'!P10</f>
        <v>0</v>
      </c>
      <c r="I10" s="23">
        <f t="shared" si="0"/>
        <v>0</v>
      </c>
      <c r="J10" s="23">
        <f t="shared" si="1"/>
        <v>5</v>
      </c>
      <c r="K10" s="24">
        <f t="shared" si="2"/>
        <v>0</v>
      </c>
      <c r="L10" s="23">
        <f t="shared" si="3"/>
        <v>1</v>
      </c>
    </row>
    <row r="11" spans="1:14" x14ac:dyDescent="0.3">
      <c r="A11" s="23">
        <v>8</v>
      </c>
      <c r="B11" s="24">
        <v>19</v>
      </c>
      <c r="C11" s="24">
        <v>0</v>
      </c>
      <c r="D11" s="23">
        <f>'Tree 1'!O11</f>
        <v>0</v>
      </c>
      <c r="E11" s="23">
        <f>'Tree 2'!Q11</f>
        <v>1</v>
      </c>
      <c r="F11" s="23">
        <f>'Tree 3'!Q11</f>
        <v>0</v>
      </c>
      <c r="G11" s="23">
        <f>'Tree 4'!P11</f>
        <v>0</v>
      </c>
      <c r="H11" s="23">
        <f>'Tree 5'!P11</f>
        <v>0</v>
      </c>
      <c r="I11" s="23">
        <f t="shared" si="0"/>
        <v>1</v>
      </c>
      <c r="J11" s="23">
        <f t="shared" si="1"/>
        <v>4</v>
      </c>
      <c r="K11" s="24">
        <f t="shared" si="2"/>
        <v>0</v>
      </c>
      <c r="L11" s="23">
        <f t="shared" si="3"/>
        <v>1</v>
      </c>
    </row>
    <row r="12" spans="1:14" x14ac:dyDescent="0.3">
      <c r="A12" s="23">
        <v>9</v>
      </c>
      <c r="B12" s="24">
        <v>18</v>
      </c>
      <c r="C12" s="24">
        <v>0</v>
      </c>
      <c r="D12" s="23">
        <f>'Tree 1'!O12</f>
        <v>0</v>
      </c>
      <c r="E12" s="23">
        <f>'Tree 2'!Q12</f>
        <v>0</v>
      </c>
      <c r="F12" s="23">
        <f>'Tree 3'!Q12</f>
        <v>0</v>
      </c>
      <c r="G12" s="23">
        <f>'Tree 4'!P12</f>
        <v>0</v>
      </c>
      <c r="H12" s="23">
        <f>'Tree 5'!P12</f>
        <v>0</v>
      </c>
      <c r="I12" s="23">
        <f t="shared" si="0"/>
        <v>0</v>
      </c>
      <c r="J12" s="23">
        <f t="shared" si="1"/>
        <v>5</v>
      </c>
      <c r="K12" s="24">
        <f t="shared" si="2"/>
        <v>0</v>
      </c>
      <c r="L12" s="23">
        <f t="shared" si="3"/>
        <v>1</v>
      </c>
    </row>
    <row r="13" spans="1:14" x14ac:dyDescent="0.3">
      <c r="A13" t="s">
        <v>3</v>
      </c>
    </row>
    <row r="14" spans="1:14" ht="28.8" x14ac:dyDescent="0.3">
      <c r="A14" s="25" t="s">
        <v>0</v>
      </c>
      <c r="B14" s="25" t="s">
        <v>1</v>
      </c>
      <c r="C14" s="25" t="s">
        <v>2</v>
      </c>
      <c r="D14" s="25" t="s">
        <v>48</v>
      </c>
      <c r="E14" s="25" t="s">
        <v>70</v>
      </c>
      <c r="F14" s="25" t="s">
        <v>65</v>
      </c>
      <c r="G14" s="25" t="s">
        <v>69</v>
      </c>
      <c r="H14" s="25" t="s">
        <v>68</v>
      </c>
      <c r="I14" s="25" t="s">
        <v>71</v>
      </c>
      <c r="J14" s="25" t="s">
        <v>72</v>
      </c>
      <c r="K14" s="25" t="s">
        <v>73</v>
      </c>
      <c r="L14" s="25" t="s">
        <v>74</v>
      </c>
    </row>
    <row r="15" spans="1:14" x14ac:dyDescent="0.3">
      <c r="A15" s="26">
        <v>10</v>
      </c>
      <c r="B15" s="26">
        <v>20</v>
      </c>
      <c r="C15" s="26">
        <v>0</v>
      </c>
      <c r="D15" s="27">
        <f>IF(B15&lt;=21.5,0,1)</f>
        <v>0</v>
      </c>
      <c r="E15" s="27">
        <f>IF(B15&lt;=18.5,0,1)</f>
        <v>1</v>
      </c>
      <c r="F15" s="27">
        <f>IF(B15&lt;=22,0,1)</f>
        <v>0</v>
      </c>
      <c r="G15" s="27">
        <f>IF(B15&lt;=21.5,0,1)</f>
        <v>0</v>
      </c>
      <c r="H15" s="27">
        <f xml:space="preserve">  0</f>
        <v>0</v>
      </c>
      <c r="I15" s="27">
        <f xml:space="preserve"> COUNTIF(D15:H15,1)</f>
        <v>1</v>
      </c>
      <c r="J15" s="27">
        <f xml:space="preserve"> COUNTIF(D15:H15,0)</f>
        <v>4</v>
      </c>
      <c r="K15" s="28">
        <f xml:space="preserve"> IF(I15&gt;J15,1,0)</f>
        <v>0</v>
      </c>
      <c r="L15" s="29">
        <f xml:space="preserve"> IF(K15=C15,1,0)</f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Tree 1</vt:lpstr>
      <vt:lpstr>Tree 2</vt:lpstr>
      <vt:lpstr>Tree 3</vt:lpstr>
      <vt:lpstr>Tree 4</vt:lpstr>
      <vt:lpstr>Tree 5</vt:lpstr>
      <vt:lpstr>random forest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Gilang Aldiano</dc:creator>
  <cp:lastModifiedBy>Gilang Aldiano</cp:lastModifiedBy>
  <dcterms:created xsi:type="dcterms:W3CDTF">2025-11-20T04:46:45Z</dcterms:created>
  <dcterms:modified xsi:type="dcterms:W3CDTF">2025-11-20T12:23:20Z</dcterms:modified>
</cp:coreProperties>
</file>